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VESTOCK.csv" sheetId="1" r:id="rId4"/>
    <sheet state="visible" name="Descriptive Analysis" sheetId="2" r:id="rId5"/>
  </sheets>
  <definedNames/>
  <calcPr/>
</workbook>
</file>

<file path=xl/sharedStrings.xml><?xml version="1.0" encoding="utf-8"?>
<sst xmlns="http://schemas.openxmlformats.org/spreadsheetml/2006/main" count="71" uniqueCount="50">
  <si>
    <t>Column 1</t>
  </si>
  <si>
    <t>Livestock Production Heads Per Year</t>
  </si>
  <si>
    <t>Annual_Rainfall_Millimeter</t>
  </si>
  <si>
    <t>Fertilizer_Use_kg_per_ha</t>
  </si>
  <si>
    <t>Crop_Price_USD_per_ton</t>
  </si>
  <si>
    <t>AGRICULTURE DATA ANALYSIS</t>
  </si>
  <si>
    <t>Prelim Activity 02: January 26, 2026</t>
  </si>
  <si>
    <r>
      <rPr>
        <rFont val="Arial"/>
        <b/>
        <color theme="1"/>
        <sz val="10.0"/>
      </rPr>
      <t xml:space="preserve">Prepared by: </t>
    </r>
    <r>
      <rPr>
        <rFont val="Arial"/>
        <b val="0"/>
        <color theme="1"/>
        <sz val="10.0"/>
      </rPr>
      <t>Anthony Llena</t>
    </r>
  </si>
  <si>
    <r>
      <rPr>
        <rFont val="Arial"/>
        <b/>
        <color theme="1"/>
        <sz val="10.0"/>
      </rPr>
      <t xml:space="preserve">Course: </t>
    </r>
    <r>
      <rPr>
        <rFont val="Arial"/>
        <b val="0"/>
        <color theme="1"/>
        <sz val="10.0"/>
      </rPr>
      <t>9345 CS 322 Data Science</t>
    </r>
  </si>
  <si>
    <r>
      <rPr>
        <rFont val="Arial"/>
        <b/>
        <color theme="1"/>
        <sz val="10.0"/>
      </rPr>
      <t>Partner:</t>
    </r>
    <r>
      <rPr>
        <rFont val="Arial"/>
        <b val="0"/>
        <color theme="1"/>
        <sz val="10.0"/>
      </rPr>
      <t xml:space="preserve"> Rabelais Mar Bernabe</t>
    </r>
  </si>
  <si>
    <r>
      <rPr>
        <rFont val="Arial"/>
        <b/>
        <color theme="1"/>
        <sz val="10.0"/>
      </rPr>
      <t xml:space="preserve">Instructor: </t>
    </r>
    <r>
      <rPr>
        <rFont val="Arial"/>
        <b val="0"/>
        <color theme="1"/>
        <sz val="10.0"/>
      </rPr>
      <t>Dr. Beverly Estephanny Ferrer</t>
    </r>
  </si>
  <si>
    <t>Measure of Position/Location</t>
  </si>
  <si>
    <t>Measure of Central Location</t>
  </si>
  <si>
    <t>Annual Rainfall per Millimeter</t>
  </si>
  <si>
    <t>Fertilizer Use KG per Hectare</t>
  </si>
  <si>
    <t>Crop Price USD per Ton</t>
  </si>
  <si>
    <t>Description</t>
  </si>
  <si>
    <t>Mean</t>
  </si>
  <si>
    <t>On average, farms produce about 131.7 heads of livestock per year, recieve 1110 mm of rainfall, use 215.5 kg of fertilizer per hectare, and have an average crop price of 302.6 USD per ton, indicating moderate production, rainfall, input use, and market value.</t>
  </si>
  <si>
    <t>Median</t>
  </si>
  <si>
    <t>The median values shows that half of the farms produce below 122.5 heads, recieve less than 1110 mm of rainfall, use less than 212.5 kg of fertilizer per hectare, and have a crop prices below 302.5 USD per ton, while the other half exceed these values.</t>
  </si>
  <si>
    <t>Mode</t>
  </si>
  <si>
    <t>No mode is observed for all variables, indicating that no value occurs more frequently than others, which suggests that the data are evenly and gradually distributed.</t>
  </si>
  <si>
    <t>Measure of Position</t>
  </si>
  <si>
    <t>Quartile 1</t>
  </si>
  <si>
    <t>The first quartile indicates that 25% of farms produce below 78.5 heads, recieve less than 865 mm of rainfall, use less than 151.25 kg of fertilizer per hectare, and have crop prices below 241.25 USD per ton.</t>
  </si>
  <si>
    <t>Quartile 3</t>
  </si>
  <si>
    <t>The third quartile shows that 75% of the farm produce below 363.75 heads, recieve less than 1360 mm of rainfall, use less than 275 kg of fertilizer per hectare, and have crop prices below 365 USD per ton.</t>
  </si>
  <si>
    <t>5th Percentile</t>
  </si>
  <si>
    <t>The 5th percentile indicates that only 5% of farms produce below 53.35 heads, recieve less than 669 mm of rainfall, use less than 102.25 per hectare, and have crop prices below 192.25 USD per ton.</t>
  </si>
  <si>
    <t>95th Percentile</t>
  </si>
  <si>
    <t>The 95th Percentile shows that 95% of farms produce below 232.75 heads, recieve less than 1551 mm of rainfall, use less than 322.75 kg of fertilizer per hectare, and have crop prices below 412,75 USD per ton, with only a few farms exceeding these values.</t>
  </si>
  <si>
    <t>Measure of Relative Location</t>
  </si>
  <si>
    <t>Variance</t>
  </si>
  <si>
    <t>The variance values ndicate the degree of spread in the data. Rainfall shows the highest variability (85,000), while livestock production, fertilzier use, and crop price show moderate variability, indicating differences among farms.</t>
  </si>
  <si>
    <t>Standard Deviation</t>
  </si>
  <si>
    <t>The standard deviation values shows that livestock production varies by about 61.59 heads, rainfall by 291.55 mm, fertilizer use by 72.89 kg per hectare, and the crop price by 73.06 USD per ton, indicating moderate variation of the average.</t>
  </si>
  <si>
    <t>DATA VISUALIZATION</t>
  </si>
  <si>
    <t>Interpretation</t>
  </si>
  <si>
    <t>The histogram shows that most farms produce between 50 and 200 heads of livestock per year, indicating moderate production levels. Only a few farms produce above 200 heads, suggesting that very high production is less common.</t>
  </si>
  <si>
    <t>The histogram indicates that most farms recieve between 800 mm and 1400 mm of rainfall annually. This suggests that generally moderate and consistent rainfall conditions, with very low and very high rainfall values occuring less frequently.</t>
  </si>
  <si>
    <t>The histogram shows that most farms recieve between 150 kg and 300 kg of fertilizer per hectare. This indicates moderate fertilizer use, whil extremely low and high application rates are less common.</t>
  </si>
  <si>
    <t>The histogram shows that crop prices are mostly concentrated between 250 USD and 350 USD per ton. This suggests relatively stable market prices, with fewer occurances of very low or very high prices.</t>
  </si>
  <si>
    <t>The scatter plot shows a strong relationship between annual rainfall and livestock production. Farms with higher rainfall tend to have higher livestock output, indicating that adequate rainfall supports farm productivity.</t>
  </si>
  <si>
    <t>The scatter plot indicates a positive relationship between fertilizer use and livestock production. Incrased fertilizer application with higher livestock output, suggesting improved feed and crop availability.</t>
  </si>
  <si>
    <t>The scatter plot shows a  strong positive relationship between fertilizer use and crop price. Higher fertilizer use is association wtih higher crop prices, which may reflect improved crop quality and yield.</t>
  </si>
  <si>
    <t>The scatter plot indicates a positive relationship between livestock production and crop price. Farms with higher production levels tend to obtain higher market prices, suggesting better economic returns.</t>
  </si>
  <si>
    <t>Final Note</t>
  </si>
  <si>
    <t>Overall, the visualization show consistent positive relationships among agricultural variables, highlighting the importance of rainfall and fertilizer use in improving production and market value.</t>
  </si>
  <si>
    <t>The scatterplot shows a positive relationship between annual rainfall and crop price. Higher rainfall levels are associated with increased crop prices, indicating climate conditions may improve crop value.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</si>
</sst>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1">
    <font>
      <sz val="10.0"/>
      <color rgb="FF000000"/>
      <name val="Arial"/>
      <scheme val="minor"/>
    </font>
    <font>
      <b/>
      <sz val="11.0"/>
      <color rgb="FF000000"/>
      <name val="Century Gothic"/>
    </font>
    <font>
      <sz val="11.0"/>
      <color rgb="FF000000"/>
      <name val="Calibri"/>
    </font>
    <font>
      <b/>
      <sz val="10.0"/>
      <color theme="1"/>
      <name val="Arial"/>
      <scheme val="minor"/>
    </font>
    <font>
      <b/>
      <sz val="12.0"/>
      <color theme="1"/>
      <name val="Arial"/>
      <scheme val="minor"/>
    </font>
    <font>
      <color theme="1"/>
      <name val="Century Gothic"/>
    </font>
    <font>
      <color theme="1"/>
      <name val="Arial"/>
      <scheme val="minor"/>
    </font>
    <font/>
    <font>
      <sz val="10.0"/>
      <color theme="1"/>
      <name val="Arial"/>
      <scheme val="minor"/>
    </font>
    <font>
      <b/>
      <sz val="12.0"/>
      <color theme="1"/>
      <name val="Century Gothic"/>
    </font>
    <font>
      <b/>
      <color theme="1"/>
      <name val="Century Gothic"/>
    </font>
  </fonts>
  <fills count="6">
    <fill>
      <patternFill patternType="none"/>
    </fill>
    <fill>
      <patternFill patternType="lightGray"/>
    </fill>
    <fill>
      <patternFill patternType="solid">
        <fgColor rgb="FF4DD0E1"/>
        <bgColor rgb="FF4DD0E1"/>
      </patternFill>
    </fill>
    <fill>
      <patternFill patternType="solid">
        <fgColor rgb="FFFFFFFF"/>
        <bgColor rgb="FFFFFFFF"/>
      </patternFill>
    </fill>
    <fill>
      <patternFill patternType="solid">
        <fgColor rgb="FFE0F7FA"/>
        <bgColor rgb="FFE0F7FA"/>
      </patternFill>
    </fill>
    <fill>
      <patternFill patternType="solid">
        <fgColor theme="0"/>
        <bgColor theme="0"/>
      </patternFill>
    </fill>
  </fills>
  <borders count="62">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medium">
        <color rgb="FF000000"/>
      </left>
      <top style="medium">
        <color rgb="FF000000"/>
      </top>
      <bottom style="medium">
        <color rgb="FFFFFFFF"/>
      </bottom>
    </border>
    <border>
      <top style="medium">
        <color rgb="FF000000"/>
      </top>
      <bottom style="medium">
        <color rgb="FFFFFFFF"/>
      </bottom>
    </border>
    <border>
      <right style="medium">
        <color rgb="FF000000"/>
      </right>
      <top style="medium">
        <color rgb="FF000000"/>
      </top>
      <bottom style="medium">
        <color rgb="FFFFFFFF"/>
      </bottom>
    </border>
    <border>
      <left style="medium">
        <color rgb="FF000000"/>
      </left>
      <top style="medium">
        <color rgb="FFFFFFFF"/>
      </top>
      <bottom style="medium">
        <color rgb="FFFFFFFF"/>
      </bottom>
    </border>
    <border>
      <top style="medium">
        <color rgb="FFFFFFFF"/>
      </top>
      <bottom style="medium">
        <color rgb="FFFFFFFF"/>
      </bottom>
    </border>
    <border>
      <right style="medium">
        <color rgb="FF000000"/>
      </right>
      <top style="medium">
        <color rgb="FFFFFFFF"/>
      </top>
      <bottom style="medium">
        <color rgb="FFFFFFFF"/>
      </bottom>
    </border>
    <border>
      <right style="medium">
        <color rgb="FFFFFFFF"/>
      </right>
      <top style="medium">
        <color rgb="FFFFFFFF"/>
      </top>
      <bottom style="medium">
        <color rgb="FFFFFFFF"/>
      </bottom>
    </border>
    <border>
      <left style="medium">
        <color rgb="FFFFFFFF"/>
      </left>
      <top style="medium">
        <color rgb="FFFFFFFF"/>
      </top>
      <bottom style="medium">
        <color rgb="FFFFFFFF"/>
      </bottom>
    </border>
    <border>
      <left style="medium">
        <color rgb="FF000000"/>
      </left>
      <top style="medium">
        <color rgb="FFFFFFFF"/>
      </top>
      <bottom style="medium">
        <color rgb="FF000000"/>
      </bottom>
    </border>
    <border>
      <top style="medium">
        <color rgb="FFFFFFFF"/>
      </top>
      <bottom style="medium">
        <color rgb="FF000000"/>
      </bottom>
    </border>
    <border>
      <right style="medium">
        <color rgb="FF000000"/>
      </right>
      <top style="medium">
        <color rgb="FFFFFFFF"/>
      </top>
      <bottom style="medium">
        <color rgb="FF000000"/>
      </bottom>
    </border>
    <border>
      <right style="thin">
        <color rgb="FFFFFFFF"/>
      </right>
      <top style="thin">
        <color rgb="FFFFFFFF"/>
      </top>
    </border>
    <border>
      <left style="thin">
        <color rgb="FFFFFFFF"/>
      </left>
      <top style="thin">
        <color rgb="FFFFFFFF"/>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right style="medium">
        <color rgb="FFFFFFFF"/>
      </right>
    </border>
    <border>
      <left style="medium">
        <color rgb="FF000000"/>
      </left>
    </border>
    <border>
      <left style="medium">
        <color rgb="FF000000"/>
      </left>
      <bottom style="medium">
        <color rgb="FF000000"/>
      </bottom>
    </border>
    <border>
      <bottom style="medium">
        <color rgb="FF000000"/>
      </bottom>
    </border>
    <border>
      <right style="medium">
        <color rgb="FFFFFFFF"/>
      </right>
      <bottom style="medium">
        <color rgb="FF000000"/>
      </bottom>
    </border>
    <border>
      <right style="thin">
        <color rgb="FF000000"/>
      </right>
    </border>
    <border>
      <left style="thin">
        <color rgb="FF000000"/>
      </left>
    </border>
    <border>
      <right style="medium">
        <color rgb="FF000000"/>
      </right>
    </border>
    <border>
      <left style="medium">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rder>
    <border>
      <right style="medium">
        <color rgb="FF000000"/>
      </right>
      <top style="thin">
        <color rgb="FF000000"/>
      </top>
    </border>
    <border>
      <left style="thin">
        <color rgb="FF000000"/>
      </left>
      <bottom style="medium">
        <color rgb="FF000000"/>
      </bottom>
    </border>
    <border>
      <right style="medium">
        <color rgb="FF000000"/>
      </right>
      <bottom style="medium">
        <color rgb="FF000000"/>
      </bottom>
    </border>
    <border>
      <right style="medium">
        <color rgb="FFFFFFFF"/>
      </right>
      <bottom style="medium">
        <color rgb="FFFFFFFF"/>
      </bottom>
    </border>
    <border>
      <left style="medium">
        <color rgb="FFFFFFFF"/>
      </left>
      <right style="medium">
        <color rgb="FFFFFFFF"/>
      </right>
      <bottom style="medium">
        <color rgb="FFFFFFFF"/>
      </bottom>
    </border>
    <border>
      <left style="medium">
        <color rgb="FFFFFFFF"/>
      </left>
      <right style="medium">
        <color rgb="FFFFFFFF"/>
      </right>
      <top style="medium">
        <color rgb="FFFFFFFF"/>
      </top>
      <bottom style="medium">
        <color rgb="FFFFFFFF"/>
      </bottom>
    </border>
    <border>
      <left style="medium">
        <color rgb="FFFFFFFF"/>
      </left>
      <right style="medium">
        <color rgb="FFFFFFFF"/>
      </right>
      <top style="medium">
        <color rgb="FFFFFFFF"/>
      </top>
    </border>
    <border>
      <left style="medium">
        <color rgb="FF000000"/>
      </left>
      <top style="medium">
        <color rgb="FF000000"/>
      </top>
    </border>
    <border>
      <top style="medium">
        <color rgb="FF000000"/>
      </top>
    </border>
    <border>
      <right style="medium">
        <color rgb="FF000000"/>
      </right>
      <top style="medium">
        <color rgb="FF000000"/>
      </top>
    </border>
    <border>
      <right style="medium">
        <color rgb="FFFFFFFF"/>
      </right>
      <top style="medium">
        <color rgb="FFFFFFFF"/>
      </top>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0"/>
    </xf>
    <xf borderId="1" fillId="0" fontId="3" numFmtId="0" xfId="0" applyAlignment="1" applyBorder="1" applyFont="1">
      <alignment horizontal="left" readingOrder="0"/>
    </xf>
    <xf borderId="2" fillId="0" fontId="3" numFmtId="0" xfId="0" applyAlignment="1" applyBorder="1" applyFont="1">
      <alignment horizontal="left" readingOrder="0"/>
    </xf>
    <xf borderId="2" fillId="0" fontId="4" numFmtId="0" xfId="0" applyAlignment="1" applyBorder="1" applyFont="1">
      <alignment horizontal="center" readingOrder="0"/>
    </xf>
    <xf borderId="3" fillId="0" fontId="4" numFmtId="0" xfId="0" applyAlignment="1" applyBorder="1" applyFont="1">
      <alignment horizontal="center" readingOrder="0"/>
    </xf>
    <xf borderId="0" fillId="0" fontId="4" numFmtId="0" xfId="0" applyAlignment="1" applyFont="1">
      <alignment horizontal="center" readingOrder="0"/>
    </xf>
    <xf borderId="0" fillId="0" fontId="5" numFmtId="0" xfId="0" applyFont="1"/>
    <xf borderId="4" fillId="0" fontId="3" numFmtId="0" xfId="0" applyAlignment="1" applyBorder="1" applyFont="1">
      <alignment horizontal="left" readingOrder="0"/>
    </xf>
    <xf borderId="5" fillId="0" fontId="3" numFmtId="0" xfId="0" applyAlignment="1" applyBorder="1" applyFont="1">
      <alignment horizontal="left" readingOrder="0"/>
    </xf>
    <xf borderId="6" fillId="0" fontId="6" numFmtId="0" xfId="0" applyBorder="1" applyFont="1"/>
    <xf borderId="6" fillId="0" fontId="4" numFmtId="0" xfId="0" applyAlignment="1" applyBorder="1" applyFont="1">
      <alignment horizontal="center" readingOrder="0"/>
    </xf>
    <xf borderId="5" fillId="0" fontId="4" numFmtId="0" xfId="0" applyAlignment="1" applyBorder="1" applyFont="1">
      <alignment horizontal="center" readingOrder="0"/>
    </xf>
    <xf borderId="7" fillId="0" fontId="4" numFmtId="0" xfId="0" applyAlignment="1" applyBorder="1" applyFont="1">
      <alignment horizontal="center" readingOrder="0"/>
    </xf>
    <xf borderId="7" fillId="0" fontId="3" numFmtId="0" xfId="0" applyAlignment="1" applyBorder="1" applyFont="1">
      <alignment horizontal="left" readingOrder="0"/>
    </xf>
    <xf borderId="8" fillId="0" fontId="3" numFmtId="0" xfId="0" applyAlignment="1" applyBorder="1" applyFont="1">
      <alignment horizontal="center" readingOrder="0" shrinkToFit="0" vertical="center" wrapText="1"/>
    </xf>
    <xf borderId="9" fillId="0" fontId="7" numFmtId="0" xfId="0" applyBorder="1" applyFont="1"/>
    <xf borderId="10" fillId="0" fontId="7" numFmtId="0" xfId="0" applyBorder="1" applyFont="1"/>
    <xf borderId="4" fillId="0" fontId="4" numFmtId="0" xfId="0" applyAlignment="1" applyBorder="1" applyFont="1">
      <alignment horizontal="center" readingOrder="0"/>
    </xf>
    <xf borderId="4" fillId="0" fontId="3" numFmtId="0" xfId="0" applyAlignment="1" applyBorder="1" applyFont="1">
      <alignment horizontal="center" readingOrder="0"/>
    </xf>
    <xf borderId="5" fillId="0" fontId="3" numFmtId="0" xfId="0" applyAlignment="1" applyBorder="1" applyFont="1">
      <alignment horizontal="center" readingOrder="0"/>
    </xf>
    <xf borderId="7" fillId="0" fontId="3" numFmtId="0" xfId="0" applyAlignment="1" applyBorder="1" applyFont="1">
      <alignment horizontal="center" readingOrder="0"/>
    </xf>
    <xf borderId="11" fillId="0" fontId="8" numFmtId="0" xfId="0" applyAlignment="1" applyBorder="1" applyFont="1">
      <alignment horizontal="center" readingOrder="0" shrinkToFit="0" vertical="center" wrapText="1"/>
    </xf>
    <xf borderId="12" fillId="0" fontId="7" numFmtId="0" xfId="0" applyBorder="1" applyFont="1"/>
    <xf borderId="13" fillId="0" fontId="7" numFmtId="0" xfId="0" applyBorder="1" applyFont="1"/>
    <xf borderId="11" fillId="0" fontId="3" numFmtId="0" xfId="0" applyAlignment="1" applyBorder="1" applyFont="1">
      <alignment horizontal="center" readingOrder="0"/>
    </xf>
    <xf borderId="14" fillId="0" fontId="7" numFmtId="0" xfId="0" applyBorder="1" applyFont="1"/>
    <xf borderId="15" fillId="0" fontId="3" numFmtId="0" xfId="0" applyAlignment="1" applyBorder="1" applyFont="1">
      <alignment horizontal="center" readingOrder="0"/>
    </xf>
    <xf borderId="16" fillId="0" fontId="3" numFmtId="0" xfId="0" applyAlignment="1" applyBorder="1" applyFont="1">
      <alignment horizontal="center" readingOrder="0"/>
    </xf>
    <xf borderId="17" fillId="0" fontId="7" numFmtId="0" xfId="0" applyBorder="1" applyFont="1"/>
    <xf borderId="18" fillId="0" fontId="7" numFmtId="0" xfId="0" applyBorder="1" applyFont="1"/>
    <xf borderId="19" fillId="0" fontId="4" numFmtId="0" xfId="0" applyAlignment="1" applyBorder="1" applyFont="1">
      <alignment horizontal="center" readingOrder="0"/>
    </xf>
    <xf borderId="20" fillId="0" fontId="4" numFmtId="0" xfId="0" applyAlignment="1" applyBorder="1" applyFont="1">
      <alignment horizontal="center" readingOrder="0"/>
    </xf>
    <xf borderId="21" fillId="2" fontId="9" numFmtId="0" xfId="0" applyAlignment="1" applyBorder="1" applyFont="1">
      <alignment horizontal="center" readingOrder="0"/>
    </xf>
    <xf borderId="22" fillId="2" fontId="7" numFmtId="0" xfId="0" applyBorder="1" applyFont="1"/>
    <xf borderId="22" fillId="0" fontId="7" numFmtId="0" xfId="0" applyBorder="1" applyFont="1"/>
    <xf borderId="23" fillId="0" fontId="7" numFmtId="0" xfId="0" applyBorder="1" applyFont="1"/>
    <xf borderId="24" fillId="3" fontId="10" numFmtId="0" xfId="0" applyAlignment="1" applyBorder="1" applyFill="1" applyFont="1">
      <alignment horizontal="center" readingOrder="0" shrinkToFit="0" vertical="center" wrapText="1"/>
    </xf>
    <xf borderId="25" fillId="3" fontId="7" numFmtId="0" xfId="0" applyBorder="1" applyFont="1"/>
    <xf borderId="26" fillId="3" fontId="7" numFmtId="0" xfId="0" applyBorder="1" applyFont="1"/>
    <xf borderId="27" fillId="3" fontId="10" numFmtId="0" xfId="0" applyAlignment="1" applyBorder="1" applyFont="1">
      <alignment horizontal="center" readingOrder="0" shrinkToFit="0" vertical="center" wrapText="1"/>
    </xf>
    <xf borderId="27" fillId="0" fontId="10" numFmtId="0" xfId="0" applyAlignment="1" applyBorder="1" applyFont="1">
      <alignment horizontal="center" readingOrder="0" shrinkToFit="0" vertical="center" wrapText="1"/>
    </xf>
    <xf borderId="25" fillId="0" fontId="7" numFmtId="0" xfId="0" applyBorder="1" applyFont="1"/>
    <xf borderId="28" fillId="0" fontId="7" numFmtId="0" xfId="0" applyBorder="1" applyFont="1"/>
    <xf borderId="29" fillId="4" fontId="5" numFmtId="0" xfId="0" applyAlignment="1" applyBorder="1" applyFill="1" applyFont="1">
      <alignment horizontal="center" readingOrder="0" shrinkToFit="0" vertical="center" wrapText="1"/>
    </xf>
    <xf borderId="30" fillId="4" fontId="7" numFmtId="0" xfId="0" applyBorder="1" applyFont="1"/>
    <xf borderId="31" fillId="4" fontId="7" numFmtId="0" xfId="0" applyBorder="1" applyFont="1"/>
    <xf borderId="32" fillId="4" fontId="5" numFmtId="0" xfId="0" applyAlignment="1" applyBorder="1" applyFont="1">
      <alignment horizontal="center" shrinkToFit="0" vertical="center" wrapText="1"/>
    </xf>
    <xf borderId="32" fillId="4" fontId="5" numFmtId="164" xfId="0" applyAlignment="1" applyBorder="1" applyFont="1" applyNumberFormat="1">
      <alignment horizontal="center" shrinkToFit="0" vertical="center" wrapText="1"/>
    </xf>
    <xf borderId="32" fillId="4" fontId="5" numFmtId="0" xfId="0" applyAlignment="1" applyBorder="1" applyFont="1">
      <alignment horizontal="center" readingOrder="0" shrinkToFit="0" vertical="center" wrapText="1"/>
    </xf>
    <xf borderId="30" fillId="0" fontId="7" numFmtId="0" xfId="0" applyBorder="1" applyFont="1"/>
    <xf borderId="33" fillId="0" fontId="7" numFmtId="0" xfId="0" applyBorder="1" applyFont="1"/>
    <xf borderId="29" fillId="3" fontId="5" numFmtId="0" xfId="0" applyAlignment="1" applyBorder="1" applyFont="1">
      <alignment horizontal="center" readingOrder="0" shrinkToFit="0" vertical="center" wrapText="1"/>
    </xf>
    <xf borderId="30" fillId="3" fontId="7" numFmtId="0" xfId="0" applyBorder="1" applyFont="1"/>
    <xf borderId="31" fillId="3" fontId="7" numFmtId="0" xfId="0" applyBorder="1" applyFont="1"/>
    <xf borderId="32" fillId="3" fontId="5" numFmtId="0" xfId="0" applyAlignment="1" applyBorder="1" applyFont="1">
      <alignment horizontal="center" shrinkToFit="0" vertical="center" wrapText="1"/>
    </xf>
    <xf borderId="32" fillId="3" fontId="5" numFmtId="164" xfId="0" applyAlignment="1" applyBorder="1" applyFont="1" applyNumberFormat="1">
      <alignment horizontal="center" shrinkToFit="0" vertical="center" wrapText="1"/>
    </xf>
    <xf borderId="32" fillId="3" fontId="5" numFmtId="0" xfId="0" applyAlignment="1" applyBorder="1" applyFont="1">
      <alignment horizontal="center" readingOrder="0" shrinkToFit="0" vertical="center" wrapText="1"/>
    </xf>
    <xf borderId="34" fillId="4" fontId="5" numFmtId="0" xfId="0" applyAlignment="1" applyBorder="1" applyFont="1">
      <alignment horizontal="center" readingOrder="0" shrinkToFit="0" vertical="center" wrapText="1"/>
    </xf>
    <xf borderId="35" fillId="4" fontId="7" numFmtId="0" xfId="0" applyBorder="1" applyFont="1"/>
    <xf borderId="36" fillId="4" fontId="7" numFmtId="0" xfId="0" applyBorder="1" applyFont="1"/>
    <xf borderId="37" fillId="4" fontId="5" numFmtId="0" xfId="0" applyAlignment="1" applyBorder="1" applyFont="1">
      <alignment horizontal="center" readingOrder="0" shrinkToFit="0" vertical="center" wrapText="1"/>
    </xf>
    <xf borderId="37" fillId="4" fontId="5" numFmtId="164" xfId="0" applyAlignment="1" applyBorder="1" applyFont="1" applyNumberFormat="1">
      <alignment horizontal="center" readingOrder="0" shrinkToFit="0" vertical="center" wrapText="1"/>
    </xf>
    <xf borderId="35" fillId="0" fontId="7" numFmtId="0" xfId="0" applyBorder="1" applyFont="1"/>
    <xf borderId="38" fillId="0" fontId="7" numFmtId="0" xfId="0" applyBorder="1" applyFont="1"/>
    <xf borderId="0" fillId="3" fontId="5" numFmtId="0" xfId="0" applyAlignment="1" applyFont="1">
      <alignment horizontal="center" shrinkToFit="0" vertical="center" wrapText="1"/>
    </xf>
    <xf borderId="39" fillId="0" fontId="7" numFmtId="0" xfId="0" applyBorder="1" applyFont="1"/>
    <xf borderId="0" fillId="0" fontId="5" numFmtId="0" xfId="0" applyAlignment="1" applyFont="1">
      <alignment shrinkToFit="0" vertical="center" wrapText="1"/>
    </xf>
    <xf borderId="21" fillId="2" fontId="9" numFmtId="0" xfId="0" applyAlignment="1" applyBorder="1" applyFont="1">
      <alignment horizontal="center" readingOrder="0" shrinkToFit="0" vertical="center" wrapText="1"/>
    </xf>
    <xf borderId="26" fillId="0" fontId="7" numFmtId="0" xfId="0" applyBorder="1" applyFont="1"/>
    <xf borderId="32" fillId="4" fontId="5" numFmtId="4" xfId="0" applyAlignment="1" applyBorder="1" applyFont="1" applyNumberFormat="1">
      <alignment horizontal="center" shrinkToFit="0" vertical="center" wrapText="1"/>
    </xf>
    <xf borderId="31" fillId="0" fontId="7" numFmtId="0" xfId="0" applyBorder="1" applyFont="1"/>
    <xf borderId="32" fillId="3" fontId="5" numFmtId="4" xfId="0" applyAlignment="1" applyBorder="1" applyFont="1" applyNumberFormat="1">
      <alignment horizontal="center" shrinkToFit="0" vertical="center" wrapText="1"/>
    </xf>
    <xf borderId="34" fillId="3" fontId="5" numFmtId="0" xfId="0" applyAlignment="1" applyBorder="1" applyFont="1">
      <alignment horizontal="center" readingOrder="0" shrinkToFit="0" vertical="center" wrapText="1"/>
    </xf>
    <xf borderId="35" fillId="3" fontId="7" numFmtId="0" xfId="0" applyBorder="1" applyFont="1"/>
    <xf borderId="36" fillId="3" fontId="7" numFmtId="0" xfId="0" applyBorder="1" applyFont="1"/>
    <xf borderId="37" fillId="3" fontId="5" numFmtId="4" xfId="0" applyAlignment="1" applyBorder="1" applyFont="1" applyNumberFormat="1">
      <alignment horizontal="center" shrinkToFit="0" vertical="center" wrapText="1"/>
    </xf>
    <xf borderId="37" fillId="3" fontId="5" numFmtId="164" xfId="0" applyAlignment="1" applyBorder="1" applyFont="1" applyNumberFormat="1">
      <alignment horizontal="center" shrinkToFit="0" vertical="center" wrapText="1"/>
    </xf>
    <xf borderId="36" fillId="0" fontId="7" numFmtId="0" xfId="0" applyBorder="1" applyFont="1"/>
    <xf borderId="37" fillId="3" fontId="5" numFmtId="0" xfId="0" applyAlignment="1" applyBorder="1" applyFont="1">
      <alignment horizontal="center" readingOrder="0" shrinkToFit="0" vertical="center" wrapText="1"/>
    </xf>
    <xf borderId="25" fillId="4" fontId="7" numFmtId="0" xfId="0" applyBorder="1" applyFont="1"/>
    <xf borderId="40" fillId="5" fontId="5" numFmtId="0" xfId="0" applyAlignment="1" applyBorder="1" applyFill="1" applyFont="1">
      <alignment horizontal="center" readingOrder="0" shrinkToFit="0" vertical="center" wrapText="1"/>
    </xf>
    <xf borderId="40" fillId="3" fontId="7" numFmtId="0" xfId="0" applyBorder="1" applyFont="1"/>
    <xf borderId="40" fillId="4" fontId="7" numFmtId="0" xfId="0" applyBorder="1" applyFont="1"/>
    <xf borderId="41" fillId="3" fontId="7" numFmtId="0" xfId="0" applyBorder="1" applyFont="1"/>
    <xf borderId="42" fillId="3" fontId="7" numFmtId="0" xfId="0" applyBorder="1" applyFont="1"/>
    <xf borderId="42" fillId="0" fontId="7" numFmtId="0" xfId="0" applyBorder="1" applyFont="1"/>
    <xf borderId="42" fillId="4" fontId="7" numFmtId="0" xfId="0" applyBorder="1" applyFont="1"/>
    <xf borderId="43" fillId="0" fontId="7" numFmtId="0" xfId="0" applyBorder="1" applyFont="1"/>
    <xf borderId="21" fillId="2" fontId="9" numFmtId="0" xfId="0" applyAlignment="1" applyBorder="1" applyFont="1">
      <alignment horizontal="center"/>
    </xf>
    <xf borderId="40" fillId="0" fontId="5" numFmtId="0" xfId="0" applyAlignment="1" applyBorder="1" applyFont="1">
      <alignment readingOrder="0"/>
    </xf>
    <xf borderId="44" fillId="0" fontId="7" numFmtId="0" xfId="0" applyBorder="1" applyFont="1"/>
    <xf borderId="45" fillId="0" fontId="5" numFmtId="0" xfId="0" applyBorder="1" applyFont="1"/>
    <xf borderId="46" fillId="0" fontId="7" numFmtId="0" xfId="0" applyBorder="1" applyFont="1"/>
    <xf borderId="40" fillId="0" fontId="7" numFmtId="0" xfId="0" applyBorder="1" applyFont="1"/>
    <xf borderId="45" fillId="0" fontId="7" numFmtId="0" xfId="0" applyBorder="1" applyFont="1"/>
    <xf borderId="24" fillId="0" fontId="7" numFmtId="0" xfId="0" applyBorder="1" applyFont="1"/>
    <xf borderId="27" fillId="0" fontId="7" numFmtId="0" xfId="0" applyBorder="1" applyFont="1"/>
    <xf borderId="29" fillId="3" fontId="10" numFmtId="0" xfId="0" applyAlignment="1" applyBorder="1" applyFont="1">
      <alignment horizontal="center" readingOrder="0" shrinkToFit="0" wrapText="1"/>
    </xf>
    <xf borderId="32" fillId="3" fontId="10" numFmtId="0" xfId="0" applyAlignment="1" applyBorder="1" applyFont="1">
      <alignment horizontal="center" readingOrder="0" shrinkToFit="0" wrapText="1"/>
    </xf>
    <xf borderId="47" fillId="4" fontId="5" numFmtId="0" xfId="0" applyAlignment="1" applyBorder="1" applyFont="1">
      <alignment horizontal="center" readingOrder="0" shrinkToFit="0" vertical="center" wrapText="1"/>
    </xf>
    <xf borderId="48" fillId="0" fontId="7" numFmtId="0" xfId="0" applyBorder="1" applyFont="1"/>
    <xf borderId="49" fillId="0" fontId="7" numFmtId="0" xfId="0" applyBorder="1" applyFont="1"/>
    <xf borderId="50" fillId="4" fontId="5" numFmtId="0" xfId="0" applyAlignment="1" applyBorder="1" applyFont="1">
      <alignment horizontal="center" readingOrder="0" shrinkToFit="0" vertical="center" wrapText="1"/>
    </xf>
    <xf borderId="51" fillId="0" fontId="7" numFmtId="0" xfId="0" applyBorder="1" applyFont="1"/>
    <xf borderId="47" fillId="0" fontId="5" numFmtId="0" xfId="0" applyAlignment="1" applyBorder="1" applyFont="1">
      <alignment readingOrder="0"/>
    </xf>
    <xf borderId="50" fillId="0" fontId="5" numFmtId="0" xfId="0" applyBorder="1" applyFont="1"/>
    <xf borderId="52" fillId="0" fontId="7" numFmtId="0" xfId="0" applyBorder="1" applyFont="1"/>
    <xf borderId="53" fillId="0" fontId="7" numFmtId="0" xfId="0" applyBorder="1" applyFont="1"/>
    <xf borderId="54" fillId="0" fontId="10" numFmtId="0" xfId="0" applyAlignment="1" applyBorder="1" applyFont="1">
      <alignment horizontal="center" readingOrder="0" shrinkToFit="0" vertical="center" wrapText="1"/>
    </xf>
    <xf borderId="55" fillId="0" fontId="10" numFmtId="0" xfId="0" applyAlignment="1" applyBorder="1" applyFont="1">
      <alignment horizontal="center" readingOrder="0" shrinkToFit="0" vertical="center" wrapText="1"/>
    </xf>
    <xf borderId="14" fillId="0" fontId="10" numFmtId="0" xfId="0" applyAlignment="1" applyBorder="1" applyFont="1">
      <alignment horizontal="center" readingOrder="0" shrinkToFit="0" vertical="center" wrapText="1"/>
    </xf>
    <xf borderId="56" fillId="0" fontId="10" numFmtId="0" xfId="0" applyAlignment="1" applyBorder="1" applyFont="1">
      <alignment horizontal="center" readingOrder="0" shrinkToFit="0" vertical="center" wrapText="1"/>
    </xf>
    <xf borderId="57" fillId="0" fontId="10" numFmtId="0" xfId="0" applyAlignment="1" applyBorder="1" applyFont="1">
      <alignment horizontal="center" readingOrder="0" shrinkToFit="0" vertical="center" wrapText="1"/>
    </xf>
    <xf borderId="12" fillId="0" fontId="10" numFmtId="0" xfId="0" applyAlignment="1" applyBorder="1" applyFont="1">
      <alignment horizontal="center" readingOrder="0" shrinkToFit="0" vertical="center" wrapText="1"/>
    </xf>
    <xf borderId="21" fillId="0" fontId="10" numFmtId="0" xfId="0" applyAlignment="1" applyBorder="1" applyFont="1">
      <alignment horizontal="center" readingOrder="0" shrinkToFit="0" vertical="center" wrapText="1"/>
    </xf>
    <xf borderId="58" fillId="0" fontId="5" numFmtId="0" xfId="0" applyAlignment="1" applyBorder="1" applyFont="1">
      <alignment horizontal="center" readingOrder="0" shrinkToFit="0" vertical="center" wrapText="1"/>
    </xf>
    <xf borderId="59" fillId="0" fontId="7" numFmtId="0" xfId="0" applyBorder="1" applyFont="1"/>
    <xf borderId="60" fillId="0" fontId="7" numFmtId="0" xfId="0" applyBorder="1" applyFont="1"/>
    <xf borderId="41" fillId="0" fontId="7" numFmtId="0" xfId="0" applyBorder="1" applyFont="1"/>
    <xf borderId="55" fillId="0" fontId="5" numFmtId="0" xfId="0" applyAlignment="1" applyBorder="1" applyFont="1">
      <alignment horizontal="center" readingOrder="0" shrinkToFit="0" vertical="center" wrapText="1"/>
    </xf>
    <xf borderId="56" fillId="0" fontId="5" numFmtId="0" xfId="0" applyAlignment="1" applyBorder="1" applyFont="1">
      <alignment horizontal="center" readingOrder="0" shrinkToFit="0" vertical="center" wrapText="1"/>
    </xf>
    <xf borderId="24" fillId="3" fontId="10" numFmtId="0" xfId="0" applyAlignment="1" applyBorder="1" applyFont="1">
      <alignment horizontal="center" readingOrder="0" shrinkToFit="0" wrapText="1"/>
    </xf>
    <xf borderId="61" fillId="0" fontId="10" numFmtId="0" xfId="0" applyAlignment="1" applyBorder="1" applyFont="1">
      <alignment horizontal="center" readingOrder="0" shrinkToFit="0" vertical="center" wrapText="1"/>
    </xf>
  </cellXfs>
  <cellStyles count="1">
    <cellStyle xfId="0" name="Normal" builtinId="0"/>
  </cellStyles>
  <dxfs count="5">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
      <border>
        <left style="thin">
          <color rgb="FF4DD0E1"/>
        </left>
        <right style="thin">
          <color rgb="FF4DD0E1"/>
        </right>
        <top style="thin">
          <color rgb="FF4DD0E1"/>
        </top>
        <bottom style="thin">
          <color rgb="FF4DD0E1"/>
        </bottom>
      </border>
    </dxf>
  </dxfs>
  <tableStyles count="1">
    <tableStyle count="4" pivot="0" name="LIVESTOCK.csv-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Relationship Between Annual Rainfall and Livestock Production</a:t>
            </a:r>
          </a:p>
        </c:rich>
      </c:tx>
      <c:overlay val="0"/>
    </c:title>
    <c:plotArea>
      <c:layout/>
      <c:scatterChart>
        <c:scatterStyle val="lineMarker"/>
        <c:varyColors val="0"/>
        <c:ser>
          <c:idx val="0"/>
          <c:order val="0"/>
          <c:tx>
            <c:strRef>
              <c:f>LIVESTOCK.csv!$C$1</c:f>
            </c:strRef>
          </c:tx>
          <c:spPr>
            <a:ln>
              <a:noFill/>
            </a:ln>
          </c:spPr>
          <c:marker>
            <c:symbol val="circle"/>
            <c:size val="7"/>
            <c:spPr>
              <a:solidFill>
                <a:schemeClr val="accent1"/>
              </a:solidFill>
              <a:ln cmpd="sng">
                <a:solidFill>
                  <a:schemeClr val="accent1"/>
                </a:solidFill>
              </a:ln>
            </c:spPr>
          </c:marker>
          <c:xVal>
            <c:numRef>
              <c:f>LIVESTOCK.csv!$B$2:$B$51</c:f>
            </c:numRef>
          </c:xVal>
          <c:yVal>
            <c:numRef>
              <c:f>LIVESTOCK.csv!$C$2:$C$51</c:f>
              <c:numCache/>
            </c:numRef>
          </c:yVal>
        </c:ser>
        <c:dLbls>
          <c:showLegendKey val="0"/>
          <c:showVal val="0"/>
          <c:showCatName val="0"/>
          <c:showSerName val="0"/>
          <c:showPercent val="0"/>
          <c:showBubbleSize val="0"/>
        </c:dLbls>
        <c:axId val="2009988839"/>
        <c:axId val="2015246780"/>
      </c:scatterChart>
      <c:valAx>
        <c:axId val="2009988839"/>
        <c:scaling>
          <c:orientation val="minMax"/>
          <c:max val="25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Livestock Production (Heads per Year)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15246780"/>
      </c:valAx>
      <c:valAx>
        <c:axId val="2015246780"/>
        <c:scaling>
          <c:orientation val="minMax"/>
          <c:max val="17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Annual Rainfall (Millimeters)</a:t>
                </a:r>
              </a:p>
            </c:rich>
          </c:tx>
          <c:overlay val="0"/>
        </c:title>
        <c:numFmt formatCode="#,##0.00;(#,##0.00)" sourceLinked="0"/>
        <c:majorTickMark val="none"/>
        <c:minorTickMark val="none"/>
        <c:tickLblPos val="nextTo"/>
        <c:spPr>
          <a:ln/>
        </c:spPr>
        <c:txPr>
          <a:bodyPr/>
          <a:lstStyle/>
          <a:p>
            <a:pPr lvl="0">
              <a:defRPr b="0">
                <a:solidFill>
                  <a:srgbClr val="000000"/>
                </a:solidFill>
                <a:latin typeface="+mn-lt"/>
              </a:defRPr>
            </a:pPr>
          </a:p>
        </c:txPr>
        <c:crossAx val="200998883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Relationship of Fertilizer Use and Livestock Production</a:t>
            </a:r>
          </a:p>
        </c:rich>
      </c:tx>
      <c:overlay val="0"/>
    </c:title>
    <c:plotArea>
      <c:layout/>
      <c:scatterChart>
        <c:scatterStyle val="lineMarker"/>
        <c:varyColors val="0"/>
        <c:ser>
          <c:idx val="0"/>
          <c:order val="0"/>
          <c:tx>
            <c:strRef>
              <c:f>LIVESTOCK.csv!$B$1</c:f>
            </c:strRef>
          </c:tx>
          <c:spPr>
            <a:ln>
              <a:noFill/>
            </a:ln>
          </c:spPr>
          <c:marker>
            <c:symbol val="circle"/>
            <c:size val="7"/>
            <c:spPr>
              <a:solidFill>
                <a:schemeClr val="accent1"/>
              </a:solidFill>
              <a:ln cmpd="sng">
                <a:solidFill>
                  <a:schemeClr val="accent1"/>
                </a:solidFill>
              </a:ln>
            </c:spPr>
          </c:marker>
          <c:yVal>
            <c:numRef>
              <c:f>LIVESTOCK.csv!$B$2:$B$1000</c:f>
              <c:numCache/>
            </c:numRef>
          </c:yVal>
        </c:ser>
        <c:dLbls>
          <c:showLegendKey val="0"/>
          <c:showVal val="0"/>
          <c:showCatName val="0"/>
          <c:showSerName val="0"/>
          <c:showPercent val="0"/>
          <c:showBubbleSize val="0"/>
        </c:dLbls>
        <c:axId val="202247568"/>
        <c:axId val="748659708"/>
      </c:scatterChart>
      <c:valAx>
        <c:axId val="20224756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Fertilizer Use (kg per hectare)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8659708"/>
      </c:valAx>
      <c:valAx>
        <c:axId val="7486597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Livestock Production (Heads per Year)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24756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Relationship Between Fertilizer Use and Crop Price</a:t>
            </a:r>
          </a:p>
        </c:rich>
      </c:tx>
      <c:overlay val="0"/>
    </c:title>
    <c:plotArea>
      <c:layout/>
      <c:scatterChart>
        <c:scatterStyle val="lineMarker"/>
        <c:varyColors val="0"/>
        <c:ser>
          <c:idx val="0"/>
          <c:order val="0"/>
          <c:tx>
            <c:strRef>
              <c:f>LIVESTOCK.csv!$E$1</c:f>
            </c:strRef>
          </c:tx>
          <c:spPr>
            <a:ln>
              <a:noFill/>
            </a:ln>
          </c:spPr>
          <c:marker>
            <c:symbol val="circle"/>
            <c:size val="7"/>
            <c:spPr>
              <a:solidFill>
                <a:schemeClr val="accent1"/>
              </a:solidFill>
              <a:ln cmpd="sng">
                <a:solidFill>
                  <a:schemeClr val="accent1"/>
                </a:solidFill>
              </a:ln>
            </c:spPr>
          </c:marker>
          <c:xVal>
            <c:numRef>
              <c:f>LIVESTOCK.csv!$D$2:$D$1000</c:f>
            </c:numRef>
          </c:xVal>
          <c:yVal>
            <c:numRef>
              <c:f>LIVESTOCK.csv!$E$2:$E$1000</c:f>
              <c:numCache/>
            </c:numRef>
          </c:yVal>
        </c:ser>
        <c:dLbls>
          <c:showLegendKey val="0"/>
          <c:showVal val="0"/>
          <c:showCatName val="0"/>
          <c:showSerName val="0"/>
          <c:showPercent val="0"/>
          <c:showBubbleSize val="0"/>
        </c:dLbls>
        <c:axId val="44271639"/>
        <c:axId val="1830929832"/>
      </c:scatterChart>
      <c:valAx>
        <c:axId val="4427163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Crop Price (USD/ton)</a:t>
                </a:r>
              </a:p>
            </c:rich>
          </c:tx>
          <c:overlay val="0"/>
        </c:title>
        <c:numFmt formatCode="_(&quot;$&quot;* #,##0.00_);_(&quot;$&quot;* \(#,##0.00\);_(&quot;$&quot;* &quot;-&quot;??_);_(@_)" sourceLinked="0"/>
        <c:majorTickMark val="none"/>
        <c:minorTickMark val="none"/>
        <c:tickLblPos val="nextTo"/>
        <c:spPr>
          <a:ln/>
        </c:spPr>
        <c:txPr>
          <a:bodyPr/>
          <a:lstStyle/>
          <a:p>
            <a:pPr lvl="0">
              <a:defRPr b="0">
                <a:solidFill>
                  <a:srgbClr val="000000"/>
                </a:solidFill>
                <a:latin typeface="+mn-lt"/>
              </a:defRPr>
            </a:pPr>
          </a:p>
        </c:txPr>
        <c:crossAx val="1830929832"/>
      </c:valAx>
      <c:valAx>
        <c:axId val="18309298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Fertilizer Use (kg/ha)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4271639"/>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Relationship of Livestock and its Price</a:t>
            </a:r>
          </a:p>
        </c:rich>
      </c:tx>
      <c:overlay val="0"/>
    </c:title>
    <c:plotArea>
      <c:layout/>
      <c:scatterChart>
        <c:scatterStyle val="lineMarker"/>
        <c:varyColors val="0"/>
        <c:ser>
          <c:idx val="0"/>
          <c:order val="0"/>
          <c:tx>
            <c:strRef>
              <c:f>LIVESTOCK.csv!$B$1</c:f>
            </c:strRef>
          </c:tx>
          <c:spPr>
            <a:ln>
              <a:noFill/>
            </a:ln>
          </c:spPr>
          <c:marker>
            <c:symbol val="circle"/>
            <c:size val="7"/>
            <c:spPr>
              <a:solidFill>
                <a:schemeClr val="accent1"/>
              </a:solidFill>
              <a:ln cmpd="sng">
                <a:solidFill>
                  <a:schemeClr val="accent1"/>
                </a:solidFill>
              </a:ln>
            </c:spPr>
          </c:marker>
          <c:yVal>
            <c:numRef>
              <c:f>LIVESTOCK.csv!$B$2:$B$1000</c:f>
              <c:numCache/>
            </c:numRef>
          </c:yVal>
        </c:ser>
        <c:dLbls>
          <c:showLegendKey val="0"/>
          <c:showVal val="0"/>
          <c:showCatName val="0"/>
          <c:showSerName val="0"/>
          <c:showPercent val="0"/>
          <c:showBubbleSize val="0"/>
        </c:dLbls>
        <c:axId val="2034410101"/>
        <c:axId val="321477691"/>
      </c:scatterChart>
      <c:valAx>
        <c:axId val="203441010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Crop Price (USD/ton)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21477691"/>
      </c:valAx>
      <c:valAx>
        <c:axId val="3214776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Livestock Production (Heads per Year)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34410101"/>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Relationship Between Annual Rainfall and Crop Price</a:t>
            </a:r>
          </a:p>
        </c:rich>
      </c:tx>
      <c:overlay val="0"/>
    </c:title>
    <c:plotArea>
      <c:layout/>
      <c:scatterChart>
        <c:scatterStyle val="lineMarker"/>
        <c:varyColors val="0"/>
        <c:ser>
          <c:idx val="0"/>
          <c:order val="0"/>
          <c:tx>
            <c:strRef>
              <c:f>LIVESTOCK.csv!$E$1</c:f>
            </c:strRef>
          </c:tx>
          <c:spPr>
            <a:ln>
              <a:noFill/>
            </a:ln>
          </c:spPr>
          <c:marker>
            <c:symbol val="circle"/>
            <c:size val="7"/>
            <c:spPr>
              <a:solidFill>
                <a:schemeClr val="accent1"/>
              </a:solidFill>
              <a:ln cmpd="sng">
                <a:solidFill>
                  <a:schemeClr val="accent1"/>
                </a:solidFill>
              </a:ln>
            </c:spPr>
          </c:marker>
          <c:xVal>
            <c:numRef>
              <c:f>LIVESTOCK.csv!$C$2:$C$1000</c:f>
            </c:numRef>
          </c:xVal>
          <c:yVal>
            <c:numRef>
              <c:f>LIVESTOCK.csv!$E$2:$E$1000</c:f>
              <c:numCache/>
            </c:numRef>
          </c:yVal>
        </c:ser>
        <c:dLbls>
          <c:showLegendKey val="0"/>
          <c:showVal val="0"/>
          <c:showCatName val="0"/>
          <c:showSerName val="0"/>
          <c:showPercent val="0"/>
          <c:showBubbleSize val="0"/>
        </c:dLbls>
        <c:axId val="919163303"/>
        <c:axId val="1587604169"/>
      </c:scatterChart>
      <c:valAx>
        <c:axId val="91916330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Rainfall (Millimeters)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87604169"/>
      </c:valAx>
      <c:valAx>
        <c:axId val="15876041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Crop Price (USD/ton)</a:t>
                </a:r>
              </a:p>
            </c:rich>
          </c:tx>
          <c:overlay val="0"/>
        </c:title>
        <c:numFmt formatCode="&quot;$&quot;#,##0.00" sourceLinked="0"/>
        <c:majorTickMark val="none"/>
        <c:minorTickMark val="none"/>
        <c:tickLblPos val="nextTo"/>
        <c:spPr>
          <a:ln/>
        </c:spPr>
        <c:txPr>
          <a:bodyPr/>
          <a:lstStyle/>
          <a:p>
            <a:pPr lvl="0">
              <a:defRPr b="0">
                <a:solidFill>
                  <a:srgbClr val="000000"/>
                </a:solidFill>
                <a:latin typeface="+mn-lt"/>
              </a:defRPr>
            </a:pPr>
          </a:p>
        </c:txPr>
        <c:crossAx val="919163303"/>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9" Type="http://schemas.openxmlformats.org/officeDocument/2006/relationships/chart" Target="../charts/chart5.xml"/><Relationship Id="rId5" Type="http://schemas.openxmlformats.org/officeDocument/2006/relationships/chart" Target="../charts/chart1.xml"/><Relationship Id="rId6" Type="http://schemas.openxmlformats.org/officeDocument/2006/relationships/chart" Target="../charts/chart2.xml"/><Relationship Id="rId7" Type="http://schemas.openxmlformats.org/officeDocument/2006/relationships/chart" Target="../charts/chart3.xml"/><Relationship Id="rId8"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35</xdr:row>
      <xdr:rowOff>180975</xdr:rowOff>
    </xdr:from>
    <xdr:ext cx="5876925" cy="3629025"/>
    <xdr:pic>
      <xdr:nvPicPr>
        <xdr:cNvPr id="2017328840"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771525</xdr:colOff>
      <xdr:row>35</xdr:row>
      <xdr:rowOff>180975</xdr:rowOff>
    </xdr:from>
    <xdr:ext cx="5876925" cy="3629025"/>
    <xdr:pic>
      <xdr:nvPicPr>
        <xdr:cNvPr id="1250518470"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781050</xdr:colOff>
      <xdr:row>60</xdr:row>
      <xdr:rowOff>9525</xdr:rowOff>
    </xdr:from>
    <xdr:ext cx="5876925" cy="3629025"/>
    <xdr:pic>
      <xdr:nvPicPr>
        <xdr:cNvPr id="820670207"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85725</xdr:colOff>
      <xdr:row>60</xdr:row>
      <xdr:rowOff>9525</xdr:rowOff>
    </xdr:from>
    <xdr:ext cx="5876925" cy="3629025"/>
    <xdr:pic>
      <xdr:nvPicPr>
        <xdr:cNvPr id="907029440"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781050</xdr:colOff>
      <xdr:row>84</xdr:row>
      <xdr:rowOff>38100</xdr:rowOff>
    </xdr:from>
    <xdr:ext cx="5876925" cy="362902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xdr:col>
      <xdr:colOff>85725</xdr:colOff>
      <xdr:row>84</xdr:row>
      <xdr:rowOff>38100</xdr:rowOff>
    </xdr:from>
    <xdr:ext cx="5876925" cy="362902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781050</xdr:colOff>
      <xdr:row>108</xdr:row>
      <xdr:rowOff>66675</xdr:rowOff>
    </xdr:from>
    <xdr:ext cx="5876925" cy="362902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9</xdr:col>
      <xdr:colOff>85725</xdr:colOff>
      <xdr:row>108</xdr:row>
      <xdr:rowOff>66675</xdr:rowOff>
    </xdr:from>
    <xdr:ext cx="5876925" cy="362902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790575</xdr:colOff>
      <xdr:row>132</xdr:row>
      <xdr:rowOff>95250</xdr:rowOff>
    </xdr:from>
    <xdr:ext cx="5876925" cy="3629025"/>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wsDr>
</file>

<file path=xl/tables/table1.xml><?xml version="1.0" encoding="utf-8"?>
<table xmlns="http://schemas.openxmlformats.org/spreadsheetml/2006/main" ref="A1:E51" displayName="LIVESTOCK.CSV" name="LIVESTOCK.CSV" id="1">
  <tableColumns count="5">
    <tableColumn name="Column 1" id="1"/>
    <tableColumn name="Livestock Production Heads Per Year" id="2"/>
    <tableColumn name="Annual_Rainfall_Millimeter" id="3"/>
    <tableColumn name="Fertilizer_Use_kg_per_ha" id="4"/>
    <tableColumn name="Crop_Price_USD_per_ton" id="5"/>
  </tableColumns>
  <tableStyleInfo name="LIVESTOCK.csv-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5"/>
    <col customWidth="1" min="3" max="3" width="24.25"/>
    <col customWidth="1" min="4" max="5" width="27.75"/>
  </cols>
  <sheetData>
    <row r="1" ht="22.5" customHeight="1">
      <c r="A1" s="1" t="s">
        <v>0</v>
      </c>
      <c r="B1" s="1" t="s">
        <v>1</v>
      </c>
      <c r="C1" s="1" t="s">
        <v>2</v>
      </c>
      <c r="D1" s="1" t="s">
        <v>3</v>
      </c>
      <c r="E1" s="1" t="s">
        <v>4</v>
      </c>
    </row>
    <row r="2" ht="22.5" customHeight="1">
      <c r="A2" s="2">
        <v>1.0</v>
      </c>
      <c r="B2" s="2">
        <v>45.0</v>
      </c>
      <c r="C2" s="2">
        <v>620.0</v>
      </c>
      <c r="D2" s="2">
        <v>90.0</v>
      </c>
      <c r="E2" s="2">
        <v>180.0</v>
      </c>
    </row>
    <row r="3" ht="22.5" customHeight="1">
      <c r="A3" s="2">
        <v>2.0</v>
      </c>
      <c r="B3" s="2">
        <v>50.0</v>
      </c>
      <c r="C3" s="2">
        <v>640.0</v>
      </c>
      <c r="D3" s="2">
        <v>95.0</v>
      </c>
      <c r="E3" s="2">
        <v>185.0</v>
      </c>
    </row>
    <row r="4" ht="22.5" customHeight="1">
      <c r="A4" s="2">
        <v>3.0</v>
      </c>
      <c r="B4" s="2">
        <v>52.0</v>
      </c>
      <c r="C4" s="2">
        <v>660.0</v>
      </c>
      <c r="D4" s="2">
        <v>100.0</v>
      </c>
      <c r="E4" s="2">
        <v>190.0</v>
      </c>
    </row>
    <row r="5" ht="22.5" customHeight="1">
      <c r="A5" s="2">
        <v>4.0</v>
      </c>
      <c r="B5" s="2">
        <v>55.0</v>
      </c>
      <c r="C5" s="2">
        <v>680.0</v>
      </c>
      <c r="D5" s="2">
        <v>105.0</v>
      </c>
      <c r="E5" s="2">
        <v>195.0</v>
      </c>
    </row>
    <row r="6" ht="22.5" customHeight="1">
      <c r="A6" s="2">
        <v>5.0</v>
      </c>
      <c r="B6" s="2">
        <v>58.0</v>
      </c>
      <c r="C6" s="2">
        <v>700.0</v>
      </c>
      <c r="D6" s="2">
        <v>110.0</v>
      </c>
      <c r="E6" s="2">
        <v>200.0</v>
      </c>
    </row>
    <row r="7" ht="22.5" customHeight="1">
      <c r="A7" s="2">
        <v>6.0</v>
      </c>
      <c r="B7" s="2">
        <v>60.0</v>
      </c>
      <c r="C7" s="2">
        <v>720.0</v>
      </c>
      <c r="D7" s="2">
        <v>115.0</v>
      </c>
      <c r="E7" s="2">
        <v>205.0</v>
      </c>
    </row>
    <row r="8" ht="22.5" customHeight="1">
      <c r="A8" s="2">
        <v>7.0</v>
      </c>
      <c r="B8" s="2">
        <v>62.0</v>
      </c>
      <c r="C8" s="2">
        <v>740.0</v>
      </c>
      <c r="D8" s="2">
        <v>120.0</v>
      </c>
      <c r="E8" s="2">
        <v>210.0</v>
      </c>
    </row>
    <row r="9" ht="22.5" customHeight="1">
      <c r="A9" s="2">
        <v>8.0</v>
      </c>
      <c r="B9" s="2">
        <v>65.0</v>
      </c>
      <c r="C9" s="2">
        <v>760.0</v>
      </c>
      <c r="D9" s="2">
        <v>125.0</v>
      </c>
      <c r="E9" s="2">
        <v>215.0</v>
      </c>
    </row>
    <row r="10" ht="22.5" customHeight="1">
      <c r="A10" s="2">
        <v>9.0</v>
      </c>
      <c r="B10" s="2">
        <v>68.0</v>
      </c>
      <c r="C10" s="2">
        <v>780.0</v>
      </c>
      <c r="D10" s="2">
        <v>130.0</v>
      </c>
      <c r="E10" s="2">
        <v>220.0</v>
      </c>
    </row>
    <row r="11" ht="22.5" customHeight="1">
      <c r="A11" s="2">
        <v>10.0</v>
      </c>
      <c r="B11" s="2">
        <v>70.0</v>
      </c>
      <c r="C11" s="2">
        <v>800.0</v>
      </c>
      <c r="D11" s="2">
        <v>135.0</v>
      </c>
      <c r="E11" s="2">
        <v>225.0</v>
      </c>
    </row>
    <row r="12" ht="22.5" customHeight="1">
      <c r="A12" s="2">
        <v>11.0</v>
      </c>
      <c r="B12" s="2">
        <v>72.0</v>
      </c>
      <c r="C12" s="2">
        <v>820.0</v>
      </c>
      <c r="D12" s="2">
        <v>140.0</v>
      </c>
      <c r="E12" s="2">
        <v>230.0</v>
      </c>
    </row>
    <row r="13" ht="22.5" customHeight="1">
      <c r="A13" s="2">
        <v>12.0</v>
      </c>
      <c r="B13" s="2">
        <v>75.0</v>
      </c>
      <c r="C13" s="2">
        <v>840.0</v>
      </c>
      <c r="D13" s="2">
        <v>145.0</v>
      </c>
      <c r="E13" s="2">
        <v>235.0</v>
      </c>
    </row>
    <row r="14" ht="22.5" customHeight="1">
      <c r="A14" s="2">
        <v>13.0</v>
      </c>
      <c r="B14" s="2">
        <v>78.0</v>
      </c>
      <c r="C14" s="2">
        <v>860.0</v>
      </c>
      <c r="D14" s="2">
        <v>150.0</v>
      </c>
      <c r="E14" s="2">
        <v>240.0</v>
      </c>
    </row>
    <row r="15" ht="22.5" customHeight="1">
      <c r="A15" s="2">
        <v>14.0</v>
      </c>
      <c r="B15" s="2">
        <v>80.0</v>
      </c>
      <c r="C15" s="2">
        <v>880.0</v>
      </c>
      <c r="D15" s="2">
        <v>155.0</v>
      </c>
      <c r="E15" s="2">
        <v>245.0</v>
      </c>
    </row>
    <row r="16" ht="22.5" customHeight="1">
      <c r="A16" s="2">
        <v>15.0</v>
      </c>
      <c r="B16" s="2">
        <v>82.0</v>
      </c>
      <c r="C16" s="2">
        <v>900.0</v>
      </c>
      <c r="D16" s="2">
        <v>160.0</v>
      </c>
      <c r="E16" s="2">
        <v>250.0</v>
      </c>
    </row>
    <row r="17" ht="22.5" customHeight="1">
      <c r="A17" s="2">
        <v>16.0</v>
      </c>
      <c r="B17" s="2">
        <v>85.0</v>
      </c>
      <c r="C17" s="2">
        <v>920.0</v>
      </c>
      <c r="D17" s="2">
        <v>165.0</v>
      </c>
      <c r="E17" s="2">
        <v>255.0</v>
      </c>
    </row>
    <row r="18" ht="22.5" customHeight="1">
      <c r="A18" s="2">
        <v>17.0</v>
      </c>
      <c r="B18" s="2">
        <v>88.0</v>
      </c>
      <c r="C18" s="2">
        <v>940.0</v>
      </c>
      <c r="D18" s="2">
        <v>170.0</v>
      </c>
      <c r="E18" s="2">
        <v>260.0</v>
      </c>
    </row>
    <row r="19" ht="22.5" customHeight="1">
      <c r="A19" s="2">
        <v>18.0</v>
      </c>
      <c r="B19" s="2">
        <v>90.0</v>
      </c>
      <c r="C19" s="2">
        <v>960.0</v>
      </c>
      <c r="D19" s="2">
        <v>175.0</v>
      </c>
      <c r="E19" s="2">
        <v>265.0</v>
      </c>
    </row>
    <row r="20" ht="22.5" customHeight="1">
      <c r="A20" s="2">
        <v>19.0</v>
      </c>
      <c r="B20" s="2">
        <v>92.0</v>
      </c>
      <c r="C20" s="2">
        <v>980.0</v>
      </c>
      <c r="D20" s="2">
        <v>180.0</v>
      </c>
      <c r="E20" s="2">
        <v>270.0</v>
      </c>
    </row>
    <row r="21" ht="22.5" customHeight="1">
      <c r="A21" s="2">
        <v>20.0</v>
      </c>
      <c r="B21" s="2">
        <v>95.0</v>
      </c>
      <c r="C21" s="2">
        <v>1000.0</v>
      </c>
      <c r="D21" s="2">
        <v>185.0</v>
      </c>
      <c r="E21" s="2">
        <v>275.0</v>
      </c>
    </row>
    <row r="22" ht="22.5" customHeight="1">
      <c r="A22" s="2">
        <v>21.0</v>
      </c>
      <c r="B22" s="2">
        <v>98.0</v>
      </c>
      <c r="C22" s="2">
        <v>1020.0</v>
      </c>
      <c r="D22" s="2">
        <v>190.0</v>
      </c>
      <c r="E22" s="2">
        <v>280.0</v>
      </c>
    </row>
    <row r="23" ht="22.5" customHeight="1">
      <c r="A23" s="2">
        <v>22.0</v>
      </c>
      <c r="B23" s="2">
        <v>100.0</v>
      </c>
      <c r="C23" s="2">
        <v>1040.0</v>
      </c>
      <c r="D23" s="2">
        <v>195.0</v>
      </c>
      <c r="E23" s="2">
        <v>285.0</v>
      </c>
    </row>
    <row r="24" ht="22.5" customHeight="1">
      <c r="A24" s="2">
        <v>23.0</v>
      </c>
      <c r="B24" s="2">
        <v>105.0</v>
      </c>
      <c r="C24" s="2">
        <v>1060.0</v>
      </c>
      <c r="D24" s="2">
        <v>200.0</v>
      </c>
      <c r="E24" s="2">
        <v>290.0</v>
      </c>
    </row>
    <row r="25" ht="22.5" customHeight="1">
      <c r="A25" s="2">
        <v>24.0</v>
      </c>
      <c r="B25" s="2">
        <v>110.0</v>
      </c>
      <c r="C25" s="2">
        <v>1080.0</v>
      </c>
      <c r="D25" s="2">
        <v>205.0</v>
      </c>
      <c r="E25" s="2">
        <v>295.0</v>
      </c>
    </row>
    <row r="26" ht="22.5" customHeight="1">
      <c r="A26" s="2">
        <v>25.0</v>
      </c>
      <c r="B26" s="2">
        <v>120.0</v>
      </c>
      <c r="C26" s="2">
        <v>1100.0</v>
      </c>
      <c r="D26" s="2">
        <v>210.0</v>
      </c>
      <c r="E26" s="2">
        <v>300.0</v>
      </c>
    </row>
    <row r="27" ht="22.5" customHeight="1">
      <c r="A27" s="2">
        <v>26.0</v>
      </c>
      <c r="B27" s="2">
        <v>125.0</v>
      </c>
      <c r="C27" s="2">
        <v>1120.0</v>
      </c>
      <c r="D27" s="2">
        <v>215.0</v>
      </c>
      <c r="E27" s="2">
        <v>305.0</v>
      </c>
    </row>
    <row r="28" ht="22.5" customHeight="1">
      <c r="A28" s="2">
        <v>27.0</v>
      </c>
      <c r="B28" s="2">
        <v>130.0</v>
      </c>
      <c r="C28" s="2">
        <v>1140.0</v>
      </c>
      <c r="D28" s="2">
        <v>220.0</v>
      </c>
      <c r="E28" s="2">
        <v>310.0</v>
      </c>
    </row>
    <row r="29" ht="22.5" customHeight="1">
      <c r="A29" s="2">
        <v>28.0</v>
      </c>
      <c r="B29" s="2">
        <v>135.0</v>
      </c>
      <c r="C29" s="2">
        <v>1160.0</v>
      </c>
      <c r="D29" s="2">
        <v>225.0</v>
      </c>
      <c r="E29" s="2">
        <v>315.0</v>
      </c>
    </row>
    <row r="30" ht="22.5" customHeight="1">
      <c r="A30" s="2">
        <v>29.0</v>
      </c>
      <c r="B30" s="2">
        <v>140.0</v>
      </c>
      <c r="C30" s="2">
        <v>1180.0</v>
      </c>
      <c r="D30" s="2">
        <v>230.0</v>
      </c>
      <c r="E30" s="2">
        <v>320.0</v>
      </c>
    </row>
    <row r="31" ht="22.5" customHeight="1">
      <c r="A31" s="2">
        <v>30.0</v>
      </c>
      <c r="B31" s="2">
        <v>145.0</v>
      </c>
      <c r="C31" s="2">
        <v>1200.0</v>
      </c>
      <c r="D31" s="2">
        <v>235.0</v>
      </c>
      <c r="E31" s="2">
        <v>325.0</v>
      </c>
    </row>
    <row r="32" ht="22.5" customHeight="1">
      <c r="A32" s="2">
        <v>31.0</v>
      </c>
      <c r="B32" s="2">
        <v>150.0</v>
      </c>
      <c r="C32" s="2">
        <v>1220.0</v>
      </c>
      <c r="D32" s="2">
        <v>240.0</v>
      </c>
      <c r="E32" s="2">
        <v>330.0</v>
      </c>
    </row>
    <row r="33" ht="22.5" customHeight="1">
      <c r="A33" s="2">
        <v>32.0</v>
      </c>
      <c r="B33" s="2">
        <v>155.0</v>
      </c>
      <c r="C33" s="2">
        <v>1240.0</v>
      </c>
      <c r="D33" s="2">
        <v>245.0</v>
      </c>
      <c r="E33" s="2">
        <v>335.0</v>
      </c>
    </row>
    <row r="34" ht="22.5" customHeight="1">
      <c r="A34" s="2">
        <v>33.0</v>
      </c>
      <c r="B34" s="2">
        <v>160.0</v>
      </c>
      <c r="C34" s="2">
        <v>1260.0</v>
      </c>
      <c r="D34" s="2">
        <v>250.0</v>
      </c>
      <c r="E34" s="2">
        <v>340.0</v>
      </c>
    </row>
    <row r="35" ht="22.5" customHeight="1">
      <c r="A35" s="2">
        <v>34.0</v>
      </c>
      <c r="B35" s="2">
        <v>165.0</v>
      </c>
      <c r="C35" s="2">
        <v>1280.0</v>
      </c>
      <c r="D35" s="2">
        <v>255.0</v>
      </c>
      <c r="E35" s="2">
        <v>345.0</v>
      </c>
    </row>
    <row r="36" ht="22.5" customHeight="1">
      <c r="A36" s="2">
        <v>35.0</v>
      </c>
      <c r="B36" s="2">
        <v>170.0</v>
      </c>
      <c r="C36" s="2">
        <v>1300.0</v>
      </c>
      <c r="D36" s="2">
        <v>260.0</v>
      </c>
      <c r="E36" s="2">
        <v>350.0</v>
      </c>
    </row>
    <row r="37" ht="22.5" customHeight="1">
      <c r="A37" s="2">
        <v>36.0</v>
      </c>
      <c r="B37" s="2">
        <v>175.0</v>
      </c>
      <c r="C37" s="2">
        <v>1320.0</v>
      </c>
      <c r="D37" s="2">
        <v>265.0</v>
      </c>
      <c r="E37" s="2">
        <v>355.0</v>
      </c>
    </row>
    <row r="38" ht="22.5" customHeight="1">
      <c r="A38" s="2">
        <v>37.0</v>
      </c>
      <c r="B38" s="2">
        <v>180.0</v>
      </c>
      <c r="C38" s="2">
        <v>1340.0</v>
      </c>
      <c r="D38" s="2">
        <v>270.0</v>
      </c>
      <c r="E38" s="2">
        <v>360.0</v>
      </c>
    </row>
    <row r="39" ht="22.5" customHeight="1">
      <c r="A39" s="2">
        <v>38.0</v>
      </c>
      <c r="B39" s="2">
        <v>185.0</v>
      </c>
      <c r="C39" s="2">
        <v>1360.0</v>
      </c>
      <c r="D39" s="2">
        <v>275.0</v>
      </c>
      <c r="E39" s="2">
        <v>365.0</v>
      </c>
    </row>
    <row r="40" ht="22.5" customHeight="1">
      <c r="A40" s="2">
        <v>39.0</v>
      </c>
      <c r="B40" s="2">
        <v>190.0</v>
      </c>
      <c r="C40" s="2">
        <v>1380.0</v>
      </c>
      <c r="D40" s="2">
        <v>280.0</v>
      </c>
      <c r="E40" s="2">
        <v>370.0</v>
      </c>
    </row>
    <row r="41" ht="22.5" customHeight="1">
      <c r="A41" s="2">
        <v>40.0</v>
      </c>
      <c r="B41" s="2">
        <v>195.0</v>
      </c>
      <c r="C41" s="2">
        <v>1400.0</v>
      </c>
      <c r="D41" s="2">
        <v>285.0</v>
      </c>
      <c r="E41" s="2">
        <v>375.0</v>
      </c>
    </row>
    <row r="42" ht="22.5" customHeight="1">
      <c r="A42" s="2">
        <v>41.0</v>
      </c>
      <c r="B42" s="2">
        <v>200.0</v>
      </c>
      <c r="C42" s="2">
        <v>1420.0</v>
      </c>
      <c r="D42" s="2">
        <v>290.0</v>
      </c>
      <c r="E42" s="2">
        <v>380.0</v>
      </c>
    </row>
    <row r="43" ht="22.5" customHeight="1">
      <c r="A43" s="2">
        <v>42.0</v>
      </c>
      <c r="B43" s="2">
        <v>205.0</v>
      </c>
      <c r="C43" s="2">
        <v>1440.0</v>
      </c>
      <c r="D43" s="2">
        <v>295.0</v>
      </c>
      <c r="E43" s="2">
        <v>385.0</v>
      </c>
    </row>
    <row r="44" ht="22.5" customHeight="1">
      <c r="A44" s="2">
        <v>43.0</v>
      </c>
      <c r="B44" s="2">
        <v>210.0</v>
      </c>
      <c r="C44" s="2">
        <v>1460.0</v>
      </c>
      <c r="D44" s="2">
        <v>300.0</v>
      </c>
      <c r="E44" s="2">
        <v>390.0</v>
      </c>
    </row>
    <row r="45" ht="22.5" customHeight="1">
      <c r="A45" s="2">
        <v>44.0</v>
      </c>
      <c r="B45" s="2">
        <v>215.0</v>
      </c>
      <c r="C45" s="2">
        <v>1480.0</v>
      </c>
      <c r="D45" s="2">
        <v>305.0</v>
      </c>
      <c r="E45" s="2">
        <v>395.0</v>
      </c>
    </row>
    <row r="46" ht="22.5" customHeight="1">
      <c r="A46" s="2">
        <v>45.0</v>
      </c>
      <c r="B46" s="2">
        <v>220.0</v>
      </c>
      <c r="C46" s="2">
        <v>1500.0</v>
      </c>
      <c r="D46" s="2">
        <v>310.0</v>
      </c>
      <c r="E46" s="2">
        <v>400.0</v>
      </c>
    </row>
    <row r="47" ht="22.5" customHeight="1">
      <c r="A47" s="2">
        <v>46.0</v>
      </c>
      <c r="B47" s="2">
        <v>225.0</v>
      </c>
      <c r="C47" s="2">
        <v>1520.0</v>
      </c>
      <c r="D47" s="2">
        <v>315.0</v>
      </c>
      <c r="E47" s="2">
        <v>405.0</v>
      </c>
    </row>
    <row r="48" ht="22.5" customHeight="1">
      <c r="A48" s="2">
        <v>47.0</v>
      </c>
      <c r="B48" s="2">
        <v>230.0</v>
      </c>
      <c r="C48" s="2">
        <v>1540.0</v>
      </c>
      <c r="D48" s="2">
        <v>320.0</v>
      </c>
      <c r="E48" s="2">
        <v>410.0</v>
      </c>
    </row>
    <row r="49" ht="22.5" customHeight="1">
      <c r="A49" s="2">
        <v>48.0</v>
      </c>
      <c r="B49" s="2">
        <v>235.0</v>
      </c>
      <c r="C49" s="2">
        <v>1560.0</v>
      </c>
      <c r="D49" s="2">
        <v>325.0</v>
      </c>
      <c r="E49" s="2">
        <v>415.0</v>
      </c>
    </row>
    <row r="50" ht="22.5" customHeight="1">
      <c r="A50" s="2">
        <v>49.0</v>
      </c>
      <c r="B50" s="2">
        <v>240.0</v>
      </c>
      <c r="C50" s="2">
        <v>1580.0</v>
      </c>
      <c r="D50" s="2">
        <v>330.0</v>
      </c>
      <c r="E50" s="2">
        <v>420.0</v>
      </c>
    </row>
    <row r="51" ht="22.5" customHeight="1">
      <c r="A51" s="2">
        <v>50.0</v>
      </c>
      <c r="B51" s="2">
        <v>250.0</v>
      </c>
      <c r="C51" s="2">
        <v>1600.0</v>
      </c>
      <c r="D51" s="2">
        <v>335.0</v>
      </c>
      <c r="E51" s="2">
        <v>430.0</v>
      </c>
    </row>
  </sheetData>
  <dataValidations>
    <dataValidation type="custom" allowBlank="1" showDropDown="1" sqref="A2:E51">
      <formula1>AND(ISNUMBER(A2),(NOT(OR(NOT(ISERROR(DATEVALUE(A2))), AND(ISNUMBER(A2), LEFT(CELL("format", A2))="D")))))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7" max="25" width="12.63"/>
  </cols>
  <sheetData>
    <row r="1">
      <c r="A1" s="3"/>
      <c r="B1" s="4"/>
      <c r="C1" s="4"/>
      <c r="D1" s="4"/>
      <c r="E1" s="4"/>
      <c r="F1" s="5"/>
      <c r="G1" s="5"/>
      <c r="H1" s="5"/>
      <c r="I1" s="5"/>
      <c r="J1" s="5"/>
      <c r="K1" s="5"/>
      <c r="L1" s="5"/>
      <c r="M1" s="5"/>
      <c r="N1" s="5"/>
      <c r="O1" s="5"/>
      <c r="P1" s="6"/>
      <c r="Q1" s="7"/>
      <c r="R1" s="8"/>
      <c r="S1" s="8"/>
    </row>
    <row r="2">
      <c r="A2" s="9"/>
      <c r="B2" s="10"/>
      <c r="C2" s="10"/>
      <c r="D2" s="10"/>
      <c r="E2" s="11"/>
      <c r="F2" s="11"/>
      <c r="G2" s="11"/>
      <c r="H2" s="11"/>
      <c r="I2" s="11"/>
      <c r="J2" s="11"/>
      <c r="K2" s="11"/>
      <c r="L2" s="12"/>
      <c r="M2" s="13"/>
      <c r="N2" s="13"/>
      <c r="O2" s="13"/>
      <c r="P2" s="14"/>
      <c r="Q2" s="7"/>
      <c r="R2" s="8"/>
      <c r="S2" s="8"/>
    </row>
    <row r="3">
      <c r="A3" s="9"/>
      <c r="B3" s="10"/>
      <c r="C3" s="10"/>
      <c r="D3" s="15"/>
      <c r="E3" s="16" t="s">
        <v>5</v>
      </c>
      <c r="F3" s="17"/>
      <c r="G3" s="17"/>
      <c r="H3" s="17"/>
      <c r="I3" s="17"/>
      <c r="J3" s="17"/>
      <c r="K3" s="17"/>
      <c r="L3" s="18"/>
      <c r="M3" s="19"/>
      <c r="N3" s="13"/>
      <c r="O3" s="13"/>
      <c r="P3" s="14"/>
      <c r="Q3" s="7"/>
      <c r="R3" s="8"/>
      <c r="S3" s="8"/>
    </row>
    <row r="4">
      <c r="A4" s="20"/>
      <c r="B4" s="21"/>
      <c r="C4" s="21"/>
      <c r="D4" s="22"/>
      <c r="E4" s="23" t="s">
        <v>6</v>
      </c>
      <c r="F4" s="24"/>
      <c r="G4" s="24"/>
      <c r="H4" s="24"/>
      <c r="I4" s="24"/>
      <c r="J4" s="24"/>
      <c r="K4" s="24"/>
      <c r="L4" s="25"/>
      <c r="M4" s="19"/>
      <c r="N4" s="13"/>
      <c r="O4" s="13"/>
      <c r="P4" s="14"/>
      <c r="Q4" s="7"/>
      <c r="R4" s="8"/>
      <c r="S4" s="8"/>
    </row>
    <row r="5">
      <c r="A5" s="9"/>
      <c r="B5" s="10"/>
      <c r="C5" s="10"/>
      <c r="D5" s="15"/>
      <c r="E5" s="26"/>
      <c r="F5" s="24"/>
      <c r="G5" s="24"/>
      <c r="H5" s="24"/>
      <c r="I5" s="24"/>
      <c r="J5" s="24"/>
      <c r="K5" s="24"/>
      <c r="L5" s="25"/>
      <c r="M5" s="19"/>
      <c r="N5" s="13"/>
      <c r="O5" s="13"/>
      <c r="P5" s="14"/>
      <c r="Q5" s="7"/>
      <c r="R5" s="8"/>
      <c r="S5" s="8"/>
    </row>
    <row r="6">
      <c r="A6" s="9"/>
      <c r="B6" s="10"/>
      <c r="C6" s="10"/>
      <c r="D6" s="15"/>
      <c r="E6" s="26" t="s">
        <v>7</v>
      </c>
      <c r="F6" s="24"/>
      <c r="G6" s="24"/>
      <c r="H6" s="27"/>
      <c r="I6" s="28" t="s">
        <v>8</v>
      </c>
      <c r="J6" s="24"/>
      <c r="K6" s="24"/>
      <c r="L6" s="25"/>
      <c r="M6" s="19"/>
      <c r="N6" s="13"/>
      <c r="O6" s="13"/>
      <c r="P6" s="14"/>
      <c r="Q6" s="7"/>
      <c r="R6" s="8"/>
      <c r="S6" s="8"/>
    </row>
    <row r="7">
      <c r="A7" s="9"/>
      <c r="B7" s="10"/>
      <c r="C7" s="10"/>
      <c r="D7" s="15"/>
      <c r="E7" s="26" t="s">
        <v>9</v>
      </c>
      <c r="F7" s="24"/>
      <c r="G7" s="24"/>
      <c r="H7" s="27"/>
      <c r="I7" s="28" t="s">
        <v>10</v>
      </c>
      <c r="J7" s="24"/>
      <c r="K7" s="24"/>
      <c r="L7" s="25"/>
      <c r="M7" s="19"/>
      <c r="N7" s="13"/>
      <c r="O7" s="13"/>
      <c r="P7" s="14"/>
      <c r="Q7" s="7"/>
      <c r="R7" s="8"/>
      <c r="S7" s="8"/>
    </row>
    <row r="8">
      <c r="A8" s="9"/>
      <c r="B8" s="10"/>
      <c r="C8" s="10"/>
      <c r="D8" s="15"/>
      <c r="E8" s="26"/>
      <c r="F8" s="24"/>
      <c r="G8" s="24"/>
      <c r="H8" s="24"/>
      <c r="I8" s="24"/>
      <c r="J8" s="24"/>
      <c r="K8" s="24"/>
      <c r="L8" s="25"/>
      <c r="M8" s="19"/>
      <c r="N8" s="13"/>
      <c r="O8" s="13"/>
      <c r="P8" s="14"/>
      <c r="Q8" s="7"/>
      <c r="R8" s="8"/>
      <c r="S8" s="8"/>
    </row>
    <row r="9">
      <c r="A9" s="9"/>
      <c r="B9" s="10"/>
      <c r="C9" s="10"/>
      <c r="D9" s="15"/>
      <c r="E9" s="29"/>
      <c r="F9" s="30"/>
      <c r="G9" s="30"/>
      <c r="H9" s="30"/>
      <c r="I9" s="30"/>
      <c r="J9" s="30"/>
      <c r="K9" s="30"/>
      <c r="L9" s="31"/>
      <c r="M9" s="19"/>
      <c r="N9" s="13"/>
      <c r="O9" s="13"/>
      <c r="P9" s="14"/>
      <c r="Q9" s="7"/>
      <c r="R9" s="8"/>
      <c r="S9" s="8"/>
    </row>
    <row r="10">
      <c r="A10" s="19"/>
      <c r="B10" s="13"/>
      <c r="C10" s="13"/>
      <c r="D10" s="13"/>
      <c r="E10" s="5"/>
      <c r="F10" s="5"/>
      <c r="G10" s="5"/>
      <c r="H10" s="5"/>
      <c r="I10" s="5"/>
      <c r="J10" s="5"/>
      <c r="K10" s="5"/>
      <c r="L10" s="5"/>
      <c r="M10" s="13"/>
      <c r="N10" s="13"/>
      <c r="O10" s="13"/>
      <c r="P10" s="14"/>
      <c r="Q10" s="7"/>
      <c r="R10" s="8"/>
      <c r="S10" s="8"/>
    </row>
    <row r="11">
      <c r="A11" s="32"/>
      <c r="B11" s="12"/>
      <c r="C11" s="12"/>
      <c r="D11" s="12"/>
      <c r="E11" s="12"/>
      <c r="F11" s="12"/>
      <c r="G11" s="12"/>
      <c r="H11" s="12"/>
      <c r="I11" s="12"/>
      <c r="J11" s="12"/>
      <c r="K11" s="12"/>
      <c r="L11" s="12"/>
      <c r="M11" s="12"/>
      <c r="N11" s="12"/>
      <c r="O11" s="12"/>
      <c r="P11" s="33"/>
      <c r="Q11" s="7"/>
      <c r="R11" s="8"/>
      <c r="S11" s="8"/>
    </row>
    <row r="12">
      <c r="A12" s="34" t="s">
        <v>11</v>
      </c>
      <c r="B12" s="35"/>
      <c r="C12" s="35"/>
      <c r="D12" s="35"/>
      <c r="E12" s="35"/>
      <c r="F12" s="35"/>
      <c r="G12" s="35"/>
      <c r="H12" s="35"/>
      <c r="I12" s="35"/>
      <c r="J12" s="35"/>
      <c r="K12" s="35"/>
      <c r="L12" s="36"/>
      <c r="M12" s="36"/>
      <c r="N12" s="36"/>
      <c r="O12" s="36"/>
      <c r="P12" s="36"/>
      <c r="Q12" s="37"/>
      <c r="R12" s="8"/>
      <c r="S12" s="8"/>
    </row>
    <row r="13">
      <c r="A13" s="38" t="s">
        <v>12</v>
      </c>
      <c r="B13" s="39"/>
      <c r="C13" s="40"/>
      <c r="D13" s="41" t="s">
        <v>1</v>
      </c>
      <c r="E13" s="40"/>
      <c r="F13" s="41" t="s">
        <v>13</v>
      </c>
      <c r="G13" s="40"/>
      <c r="H13" s="41" t="s">
        <v>14</v>
      </c>
      <c r="I13" s="40"/>
      <c r="J13" s="41" t="s">
        <v>15</v>
      </c>
      <c r="K13" s="40"/>
      <c r="L13" s="42" t="s">
        <v>16</v>
      </c>
      <c r="M13" s="43"/>
      <c r="N13" s="43"/>
      <c r="O13" s="43"/>
      <c r="P13" s="43"/>
      <c r="Q13" s="44"/>
      <c r="R13" s="8"/>
      <c r="S13" s="8"/>
    </row>
    <row r="14">
      <c r="A14" s="45" t="s">
        <v>17</v>
      </c>
      <c r="B14" s="46"/>
      <c r="C14" s="47"/>
      <c r="D14" s="48">
        <f>SUM(LIVESTOCK.csv!B2:B51)/COUNT(LIVESTOCK.csv!B2:B51)</f>
        <v>131.7</v>
      </c>
      <c r="E14" s="47"/>
      <c r="F14" s="48">
        <f>SUM(LIVESTOCK.csv!C2:C51)/COUNT(LIVESTOCK.csv!C2:C51)</f>
        <v>1110</v>
      </c>
      <c r="G14" s="47"/>
      <c r="H14" s="48">
        <f>SUM(LIVESTOCK.csv!D2:D51)/COUNT(LIVESTOCK.csv!D2:D51)</f>
        <v>212.5</v>
      </c>
      <c r="I14" s="47"/>
      <c r="J14" s="49">
        <f>SUM(LIVESTOCK.csv!E2:E51)/COUNT(LIVESTOCK.csv!E2:E51)</f>
        <v>302.6</v>
      </c>
      <c r="K14" s="47"/>
      <c r="L14" s="50" t="s">
        <v>18</v>
      </c>
      <c r="M14" s="51"/>
      <c r="N14" s="51"/>
      <c r="O14" s="51"/>
      <c r="P14" s="51"/>
      <c r="Q14" s="52"/>
      <c r="R14" s="8"/>
      <c r="S14" s="8"/>
    </row>
    <row r="15">
      <c r="A15" s="53" t="s">
        <v>19</v>
      </c>
      <c r="B15" s="54"/>
      <c r="C15" s="55"/>
      <c r="D15" s="56">
        <f>MEDIAN(LIVESTOCK.csv!B2:B51)</f>
        <v>122.5</v>
      </c>
      <c r="E15" s="55"/>
      <c r="F15" s="56">
        <f>MEDIAN(LIVESTOCK.csv!C2:C51)</f>
        <v>1110</v>
      </c>
      <c r="G15" s="55"/>
      <c r="H15" s="56">
        <f>MEDIAN(LIVESTOCK.csv!D2:D51)</f>
        <v>212.5</v>
      </c>
      <c r="I15" s="55"/>
      <c r="J15" s="57">
        <f>MEDIAN(LIVESTOCK.csv!E2:E51)</f>
        <v>302.5</v>
      </c>
      <c r="K15" s="55"/>
      <c r="L15" s="58" t="s">
        <v>20</v>
      </c>
      <c r="M15" s="51"/>
      <c r="N15" s="51"/>
      <c r="O15" s="51"/>
      <c r="P15" s="51"/>
      <c r="Q15" s="52"/>
      <c r="R15" s="8"/>
      <c r="S15" s="8"/>
    </row>
    <row r="16">
      <c r="A16" s="59" t="s">
        <v>21</v>
      </c>
      <c r="B16" s="60"/>
      <c r="C16" s="61"/>
      <c r="D16" s="62" t="str">
        <f>MODE(LIVESTOCK.csv!B2:B51)</f>
        <v>#N/A</v>
      </c>
      <c r="E16" s="61"/>
      <c r="F16" s="62" t="str">
        <f>MODE(LIVESTOCK.csv!D2:D51)</f>
        <v>#N/A</v>
      </c>
      <c r="G16" s="61"/>
      <c r="H16" s="62" t="str">
        <f>MODE(LIVESTOCK.csv!F2:F51)</f>
        <v>#N/A</v>
      </c>
      <c r="I16" s="61"/>
      <c r="J16" s="63" t="str">
        <f>MODE(LIVESTOCK.csv!H2:H51)</f>
        <v>#N/A</v>
      </c>
      <c r="K16" s="61"/>
      <c r="L16" s="62" t="s">
        <v>22</v>
      </c>
      <c r="M16" s="64"/>
      <c r="N16" s="64"/>
      <c r="O16" s="64"/>
      <c r="P16" s="64"/>
      <c r="Q16" s="65"/>
      <c r="R16" s="8"/>
      <c r="S16" s="8"/>
    </row>
    <row r="17">
      <c r="A17" s="66"/>
      <c r="P17" s="67"/>
      <c r="Q17" s="68"/>
      <c r="R17" s="8"/>
      <c r="S17" s="8"/>
    </row>
    <row r="18">
      <c r="P18" s="67"/>
      <c r="Q18" s="68"/>
      <c r="R18" s="8"/>
      <c r="S18" s="8"/>
    </row>
    <row r="19">
      <c r="A19" s="69" t="s">
        <v>11</v>
      </c>
      <c r="B19" s="35"/>
      <c r="C19" s="35"/>
      <c r="D19" s="35"/>
      <c r="E19" s="35"/>
      <c r="F19" s="35"/>
      <c r="G19" s="35"/>
      <c r="H19" s="35"/>
      <c r="I19" s="35"/>
      <c r="J19" s="35"/>
      <c r="K19" s="36"/>
      <c r="L19" s="36"/>
      <c r="M19" s="36"/>
      <c r="N19" s="36"/>
      <c r="O19" s="36"/>
      <c r="P19" s="36"/>
      <c r="Q19" s="37"/>
      <c r="R19" s="8"/>
      <c r="S19" s="8"/>
    </row>
    <row r="20">
      <c r="A20" s="38" t="s">
        <v>23</v>
      </c>
      <c r="B20" s="39"/>
      <c r="C20" s="40"/>
      <c r="D20" s="41" t="s">
        <v>1</v>
      </c>
      <c r="E20" s="40"/>
      <c r="F20" s="41" t="s">
        <v>13</v>
      </c>
      <c r="G20" s="40"/>
      <c r="H20" s="41" t="s">
        <v>14</v>
      </c>
      <c r="I20" s="40"/>
      <c r="J20" s="41" t="s">
        <v>15</v>
      </c>
      <c r="K20" s="70"/>
      <c r="L20" s="42" t="s">
        <v>16</v>
      </c>
      <c r="M20" s="43"/>
      <c r="N20" s="43"/>
      <c r="O20" s="43"/>
      <c r="P20" s="43"/>
      <c r="Q20" s="44"/>
      <c r="R20" s="8"/>
      <c r="S20" s="8"/>
    </row>
    <row r="21">
      <c r="A21" s="45" t="s">
        <v>24</v>
      </c>
      <c r="B21" s="46"/>
      <c r="C21" s="47"/>
      <c r="D21" s="71">
        <f>QUARTILE(LIVESTOCK.csv!B2:B51,1)</f>
        <v>78.5</v>
      </c>
      <c r="E21" s="47"/>
      <c r="F21" s="71">
        <f>QUARTILE(LIVESTOCK.csv!C2:C51,1)</f>
        <v>865</v>
      </c>
      <c r="G21" s="47"/>
      <c r="H21" s="71">
        <f>QUARTILE(LIVESTOCK.csv!D2:D51,1)</f>
        <v>151.25</v>
      </c>
      <c r="I21" s="47"/>
      <c r="J21" s="49">
        <f>QUARTILE(LIVESTOCK.csv!E2:E51,1)</f>
        <v>241.25</v>
      </c>
      <c r="K21" s="72"/>
      <c r="L21" s="50" t="s">
        <v>25</v>
      </c>
      <c r="M21" s="51"/>
      <c r="N21" s="51"/>
      <c r="O21" s="51"/>
      <c r="P21" s="51"/>
      <c r="Q21" s="52"/>
      <c r="R21" s="8"/>
      <c r="S21" s="8"/>
    </row>
    <row r="22">
      <c r="A22" s="53" t="s">
        <v>26</v>
      </c>
      <c r="B22" s="54"/>
      <c r="C22" s="55"/>
      <c r="D22" s="73">
        <f>QUARTILE(LIVESTOCK.csv!E2:E51,3)</f>
        <v>363.75</v>
      </c>
      <c r="E22" s="55"/>
      <c r="F22" s="73">
        <f>QUARTILE(LIVESTOCK.csv!C3:C52,3)</f>
        <v>1360</v>
      </c>
      <c r="G22" s="55"/>
      <c r="H22" s="73">
        <f>QUARTILE(LIVESTOCK.csv!D3:D52,3)</f>
        <v>275</v>
      </c>
      <c r="I22" s="55"/>
      <c r="J22" s="57">
        <f>QUARTILE(LIVESTOCK.csv!E3:E52,3)</f>
        <v>365</v>
      </c>
      <c r="K22" s="72"/>
      <c r="L22" s="58" t="s">
        <v>27</v>
      </c>
      <c r="M22" s="51"/>
      <c r="N22" s="51"/>
      <c r="O22" s="51"/>
      <c r="P22" s="51"/>
      <c r="Q22" s="52"/>
      <c r="R22" s="8"/>
      <c r="S22" s="8"/>
    </row>
    <row r="23">
      <c r="A23" s="45" t="s">
        <v>28</v>
      </c>
      <c r="B23" s="46"/>
      <c r="C23" s="47"/>
      <c r="D23" s="71">
        <f>PERCENTILE(LIVESTOCK.csv!B2:B51, 0.05)</f>
        <v>53.35</v>
      </c>
      <c r="E23" s="47"/>
      <c r="F23" s="71">
        <f>PERCENTILE(LIVESTOCK.csv!C2:C51, 0.05)</f>
        <v>669</v>
      </c>
      <c r="G23" s="47"/>
      <c r="H23" s="71">
        <f>PERCENTILE(LIVESTOCK.csv!D2:D51, 0.05)</f>
        <v>102.25</v>
      </c>
      <c r="I23" s="47"/>
      <c r="J23" s="49">
        <f>PERCENTILE(LIVESTOCK.csv!E2:E51, 0.05)</f>
        <v>192.25</v>
      </c>
      <c r="K23" s="72"/>
      <c r="L23" s="50" t="s">
        <v>29</v>
      </c>
      <c r="M23" s="51"/>
      <c r="N23" s="51"/>
      <c r="O23" s="51"/>
      <c r="P23" s="51"/>
      <c r="Q23" s="52"/>
      <c r="R23" s="8"/>
      <c r="S23" s="8"/>
    </row>
    <row r="24">
      <c r="A24" s="74" t="s">
        <v>30</v>
      </c>
      <c r="B24" s="75"/>
      <c r="C24" s="76"/>
      <c r="D24" s="77">
        <f>PERCENTILE(LIVESTOCK.csv!B2:B51, 0.95)</f>
        <v>232.75</v>
      </c>
      <c r="E24" s="76"/>
      <c r="F24" s="77">
        <f>PERCENTILE(LIVESTOCK.csv!C2:C51, 0.95)</f>
        <v>1551</v>
      </c>
      <c r="G24" s="76"/>
      <c r="H24" s="77">
        <f>PERCENTILE(LIVESTOCK.csv!D2:D51, 0.95)</f>
        <v>322.75</v>
      </c>
      <c r="I24" s="76"/>
      <c r="J24" s="78">
        <f>PERCENTILE(LIVESTOCK.csv!E2:E51, 0.95)</f>
        <v>412.75</v>
      </c>
      <c r="K24" s="79"/>
      <c r="L24" s="80" t="s">
        <v>31</v>
      </c>
      <c r="M24" s="64"/>
      <c r="N24" s="64"/>
      <c r="O24" s="64"/>
      <c r="P24" s="64"/>
      <c r="Q24" s="65"/>
      <c r="R24" s="8"/>
      <c r="S24" s="8"/>
    </row>
    <row r="25">
      <c r="A25" s="66"/>
      <c r="P25" s="67"/>
      <c r="Q25" s="68"/>
      <c r="R25" s="8"/>
      <c r="S25" s="8"/>
    </row>
    <row r="26">
      <c r="P26" s="67"/>
      <c r="Q26" s="68"/>
      <c r="R26" s="8"/>
      <c r="S26" s="8"/>
    </row>
    <row r="27">
      <c r="A27" s="69" t="s">
        <v>32</v>
      </c>
      <c r="B27" s="35"/>
      <c r="C27" s="35"/>
      <c r="D27" s="35"/>
      <c r="E27" s="35"/>
      <c r="F27" s="35"/>
      <c r="G27" s="35"/>
      <c r="H27" s="35"/>
      <c r="I27" s="35"/>
      <c r="J27" s="35"/>
      <c r="K27" s="36"/>
      <c r="L27" s="36"/>
      <c r="M27" s="36"/>
      <c r="N27" s="36"/>
      <c r="O27" s="36"/>
      <c r="P27" s="36"/>
      <c r="Q27" s="37"/>
      <c r="R27" s="8"/>
      <c r="S27" s="8"/>
    </row>
    <row r="28">
      <c r="A28" s="38" t="s">
        <v>32</v>
      </c>
      <c r="B28" s="39"/>
      <c r="C28" s="40"/>
      <c r="D28" s="41" t="s">
        <v>1</v>
      </c>
      <c r="E28" s="40"/>
      <c r="F28" s="41" t="s">
        <v>13</v>
      </c>
      <c r="G28" s="40"/>
      <c r="H28" s="41" t="s">
        <v>14</v>
      </c>
      <c r="I28" s="40"/>
      <c r="J28" s="41" t="s">
        <v>15</v>
      </c>
      <c r="K28" s="70"/>
      <c r="L28" s="41" t="s">
        <v>16</v>
      </c>
      <c r="M28" s="81"/>
      <c r="N28" s="81"/>
      <c r="O28" s="81"/>
      <c r="P28" s="43"/>
      <c r="Q28" s="44"/>
      <c r="R28" s="8"/>
      <c r="S28" s="8"/>
    </row>
    <row r="29">
      <c r="A29" s="45" t="s">
        <v>33</v>
      </c>
      <c r="B29" s="46"/>
      <c r="C29" s="47"/>
      <c r="D29" s="71">
        <f>VAR(LIVESTOCK.csv!B2:B51)</f>
        <v>3793.27551</v>
      </c>
      <c r="E29" s="47"/>
      <c r="F29" s="71">
        <f>VAR(LIVESTOCK.csv!C2:C51)</f>
        <v>85000</v>
      </c>
      <c r="G29" s="47"/>
      <c r="H29" s="71">
        <f>VAR(LIVESTOCK.csv!D2:D51)</f>
        <v>5312.5</v>
      </c>
      <c r="I29" s="47"/>
      <c r="J29" s="49">
        <f>VAR(LIVESTOCK.csv!E2:E51)</f>
        <v>5338</v>
      </c>
      <c r="K29" s="72"/>
      <c r="L29" s="50" t="s">
        <v>34</v>
      </c>
      <c r="M29" s="54"/>
      <c r="N29" s="54"/>
      <c r="O29" s="54"/>
      <c r="P29" s="51"/>
      <c r="Q29" s="52"/>
      <c r="R29" s="8"/>
      <c r="S29" s="8"/>
    </row>
    <row r="30">
      <c r="A30" s="74" t="s">
        <v>35</v>
      </c>
      <c r="B30" s="75"/>
      <c r="C30" s="76"/>
      <c r="D30" s="77">
        <f>STDEV(LIVESTOCK.csv!B2:B51)</f>
        <v>61.58957306</v>
      </c>
      <c r="E30" s="76"/>
      <c r="F30" s="77">
        <f>STDEV(LIVESTOCK.csv!C2:C51)</f>
        <v>291.5475947</v>
      </c>
      <c r="G30" s="76"/>
      <c r="H30" s="77">
        <f>STDEV(LIVESTOCK.csv!D2:D51)</f>
        <v>72.88689869</v>
      </c>
      <c r="I30" s="76"/>
      <c r="J30" s="78">
        <f>STDEV(LIVESTOCK.csv!E2:E51)</f>
        <v>73.06161783</v>
      </c>
      <c r="K30" s="79"/>
      <c r="L30" s="80" t="s">
        <v>36</v>
      </c>
      <c r="M30" s="60"/>
      <c r="N30" s="60"/>
      <c r="O30" s="60"/>
      <c r="P30" s="64"/>
      <c r="Q30" s="65"/>
      <c r="R30" s="8"/>
      <c r="S30" s="8"/>
    </row>
    <row r="31">
      <c r="A31" s="82"/>
      <c r="P31" s="67"/>
      <c r="Q31" s="8"/>
      <c r="R31" s="8"/>
      <c r="S31" s="8"/>
    </row>
    <row r="32">
      <c r="A32" s="83"/>
      <c r="P32" s="67"/>
      <c r="Q32" s="8"/>
      <c r="R32" s="8"/>
      <c r="S32" s="8"/>
    </row>
    <row r="33">
      <c r="A33" s="84"/>
      <c r="P33" s="67"/>
      <c r="Q33" s="8"/>
      <c r="R33" s="8"/>
      <c r="S33" s="8"/>
    </row>
    <row r="34">
      <c r="A34" s="85"/>
      <c r="B34" s="86"/>
      <c r="C34" s="86"/>
      <c r="D34" s="86"/>
      <c r="E34" s="86"/>
      <c r="F34" s="86"/>
      <c r="G34" s="86"/>
      <c r="H34" s="86"/>
      <c r="I34" s="86"/>
      <c r="J34" s="86"/>
      <c r="K34" s="87"/>
      <c r="L34" s="88"/>
      <c r="M34" s="88"/>
      <c r="N34" s="88"/>
      <c r="O34" s="88"/>
      <c r="P34" s="89"/>
      <c r="Q34" s="8"/>
      <c r="R34" s="8"/>
      <c r="S34" s="8"/>
    </row>
    <row r="35">
      <c r="A35" s="90" t="s">
        <v>37</v>
      </c>
      <c r="B35" s="36"/>
      <c r="C35" s="36"/>
      <c r="D35" s="36"/>
      <c r="E35" s="36"/>
      <c r="F35" s="36"/>
      <c r="G35" s="36"/>
      <c r="H35" s="36"/>
      <c r="I35" s="36"/>
      <c r="J35" s="36"/>
      <c r="K35" s="36"/>
      <c r="L35" s="36"/>
      <c r="M35" s="36"/>
      <c r="N35" s="36"/>
      <c r="O35" s="36"/>
      <c r="P35" s="37"/>
      <c r="Q35" s="8"/>
      <c r="R35" s="8"/>
      <c r="S35" s="8"/>
    </row>
    <row r="36">
      <c r="A36" s="91"/>
      <c r="H36" s="92"/>
      <c r="I36" s="93"/>
      <c r="P36" s="94"/>
      <c r="Q36" s="8"/>
      <c r="R36" s="8"/>
      <c r="S36" s="8"/>
    </row>
    <row r="37">
      <c r="A37" s="95"/>
      <c r="H37" s="92"/>
      <c r="I37" s="96"/>
      <c r="P37" s="94"/>
      <c r="Q37" s="8"/>
      <c r="R37" s="8"/>
      <c r="S37" s="8"/>
    </row>
    <row r="38">
      <c r="A38" s="95"/>
      <c r="H38" s="92"/>
      <c r="I38" s="96"/>
      <c r="P38" s="94"/>
      <c r="Q38" s="8"/>
      <c r="R38" s="8"/>
      <c r="S38" s="8"/>
    </row>
    <row r="39">
      <c r="A39" s="95"/>
      <c r="H39" s="92"/>
      <c r="I39" s="96"/>
      <c r="P39" s="94"/>
      <c r="Q39" s="8"/>
      <c r="R39" s="8"/>
      <c r="S39" s="8"/>
    </row>
    <row r="40">
      <c r="A40" s="95"/>
      <c r="H40" s="92"/>
      <c r="I40" s="96"/>
      <c r="P40" s="94"/>
      <c r="Q40" s="8"/>
      <c r="R40" s="8"/>
      <c r="S40" s="8"/>
    </row>
    <row r="41">
      <c r="A41" s="95"/>
      <c r="H41" s="92"/>
      <c r="I41" s="96"/>
      <c r="P41" s="94"/>
      <c r="Q41" s="8"/>
      <c r="R41" s="8"/>
      <c r="S41" s="8"/>
    </row>
    <row r="42">
      <c r="A42" s="95"/>
      <c r="H42" s="92"/>
      <c r="I42" s="96"/>
      <c r="P42" s="94"/>
      <c r="Q42" s="8"/>
      <c r="R42" s="8"/>
      <c r="S42" s="8"/>
    </row>
    <row r="43">
      <c r="A43" s="95"/>
      <c r="H43" s="92"/>
      <c r="I43" s="96"/>
      <c r="P43" s="94"/>
      <c r="Q43" s="8"/>
      <c r="R43" s="8"/>
      <c r="S43" s="8"/>
    </row>
    <row r="44">
      <c r="A44" s="95"/>
      <c r="H44" s="92"/>
      <c r="I44" s="96"/>
      <c r="P44" s="94"/>
      <c r="Q44" s="8"/>
      <c r="R44" s="8"/>
      <c r="S44" s="8"/>
    </row>
    <row r="45">
      <c r="A45" s="95"/>
      <c r="H45" s="92"/>
      <c r="I45" s="96"/>
      <c r="P45" s="94"/>
    </row>
    <row r="46">
      <c r="A46" s="95"/>
      <c r="H46" s="92"/>
      <c r="I46" s="96"/>
      <c r="P46" s="94"/>
    </row>
    <row r="47">
      <c r="A47" s="95"/>
      <c r="H47" s="92"/>
      <c r="I47" s="96"/>
      <c r="P47" s="94"/>
    </row>
    <row r="48">
      <c r="A48" s="95"/>
      <c r="H48" s="92"/>
      <c r="I48" s="96"/>
      <c r="P48" s="94"/>
    </row>
    <row r="49">
      <c r="A49" s="95"/>
      <c r="H49" s="92"/>
      <c r="I49" s="96"/>
      <c r="P49" s="94"/>
    </row>
    <row r="50">
      <c r="A50" s="95"/>
      <c r="H50" s="92"/>
      <c r="I50" s="96"/>
      <c r="P50" s="94"/>
    </row>
    <row r="51">
      <c r="A51" s="95"/>
      <c r="H51" s="92"/>
      <c r="I51" s="96"/>
      <c r="P51" s="94"/>
    </row>
    <row r="52">
      <c r="A52" s="95"/>
      <c r="H52" s="92"/>
      <c r="I52" s="96"/>
      <c r="P52" s="94"/>
    </row>
    <row r="53">
      <c r="A53" s="95"/>
      <c r="H53" s="92"/>
      <c r="I53" s="96"/>
      <c r="P53" s="94"/>
    </row>
    <row r="54">
      <c r="A54" s="95"/>
      <c r="H54" s="92"/>
      <c r="I54" s="96"/>
      <c r="P54" s="94"/>
    </row>
    <row r="55">
      <c r="A55" s="97"/>
      <c r="B55" s="43"/>
      <c r="C55" s="43"/>
      <c r="D55" s="43"/>
      <c r="E55" s="43"/>
      <c r="F55" s="43"/>
      <c r="G55" s="43"/>
      <c r="H55" s="70"/>
      <c r="I55" s="98"/>
      <c r="J55" s="43"/>
      <c r="K55" s="43"/>
      <c r="L55" s="43"/>
      <c r="M55" s="43"/>
      <c r="N55" s="43"/>
      <c r="O55" s="43"/>
      <c r="P55" s="44"/>
    </row>
    <row r="56">
      <c r="A56" s="99" t="s">
        <v>38</v>
      </c>
      <c r="B56" s="51"/>
      <c r="C56" s="51"/>
      <c r="D56" s="51"/>
      <c r="E56" s="51"/>
      <c r="F56" s="51"/>
      <c r="G56" s="51"/>
      <c r="H56" s="72"/>
      <c r="I56" s="100" t="s">
        <v>38</v>
      </c>
      <c r="J56" s="51"/>
      <c r="K56" s="51"/>
      <c r="L56" s="51"/>
      <c r="M56" s="51"/>
      <c r="N56" s="51"/>
      <c r="O56" s="51"/>
      <c r="P56" s="52"/>
    </row>
    <row r="57">
      <c r="A57" s="101" t="s">
        <v>39</v>
      </c>
      <c r="B57" s="102"/>
      <c r="C57" s="102"/>
      <c r="D57" s="102"/>
      <c r="E57" s="102"/>
      <c r="F57" s="102"/>
      <c r="G57" s="102"/>
      <c r="H57" s="103"/>
      <c r="I57" s="104" t="s">
        <v>40</v>
      </c>
      <c r="J57" s="102"/>
      <c r="K57" s="102"/>
      <c r="L57" s="102"/>
      <c r="M57" s="102"/>
      <c r="N57" s="102"/>
      <c r="O57" s="102"/>
      <c r="P57" s="105"/>
    </row>
    <row r="58">
      <c r="A58" s="95"/>
      <c r="H58" s="92"/>
      <c r="I58" s="96"/>
      <c r="P58" s="94"/>
    </row>
    <row r="59">
      <c r="A59" s="97"/>
      <c r="B59" s="43"/>
      <c r="C59" s="43"/>
      <c r="D59" s="43"/>
      <c r="E59" s="43"/>
      <c r="F59" s="43"/>
      <c r="G59" s="43"/>
      <c r="H59" s="70"/>
      <c r="I59" s="98"/>
      <c r="J59" s="43"/>
      <c r="K59" s="43"/>
      <c r="L59" s="43"/>
      <c r="M59" s="43"/>
      <c r="N59" s="43"/>
      <c r="O59" s="43"/>
      <c r="P59" s="44"/>
    </row>
    <row r="60">
      <c r="A60" s="106"/>
      <c r="B60" s="102"/>
      <c r="C60" s="102"/>
      <c r="D60" s="102"/>
      <c r="E60" s="102"/>
      <c r="F60" s="102"/>
      <c r="G60" s="102"/>
      <c r="H60" s="103"/>
      <c r="I60" s="107"/>
      <c r="J60" s="102"/>
      <c r="K60" s="102"/>
      <c r="L60" s="102"/>
      <c r="M60" s="102"/>
      <c r="N60" s="102"/>
      <c r="O60" s="102"/>
      <c r="P60" s="105"/>
    </row>
    <row r="61">
      <c r="A61" s="95"/>
      <c r="H61" s="92"/>
      <c r="I61" s="96"/>
      <c r="P61" s="94"/>
    </row>
    <row r="62">
      <c r="A62" s="95"/>
      <c r="H62" s="92"/>
      <c r="I62" s="96"/>
      <c r="P62" s="94"/>
    </row>
    <row r="63">
      <c r="A63" s="95"/>
      <c r="H63" s="92"/>
      <c r="I63" s="96"/>
      <c r="P63" s="94"/>
    </row>
    <row r="64">
      <c r="A64" s="95"/>
      <c r="H64" s="92"/>
      <c r="I64" s="96"/>
      <c r="P64" s="94"/>
    </row>
    <row r="65">
      <c r="A65" s="95"/>
      <c r="H65" s="92"/>
      <c r="I65" s="96"/>
      <c r="P65" s="94"/>
    </row>
    <row r="66">
      <c r="A66" s="95"/>
      <c r="H66" s="92"/>
      <c r="I66" s="96"/>
      <c r="P66" s="94"/>
    </row>
    <row r="67">
      <c r="A67" s="95"/>
      <c r="H67" s="92"/>
      <c r="I67" s="96"/>
      <c r="P67" s="94"/>
    </row>
    <row r="68">
      <c r="A68" s="95"/>
      <c r="H68" s="92"/>
      <c r="I68" s="96"/>
      <c r="P68" s="94"/>
    </row>
    <row r="69">
      <c r="A69" s="95"/>
      <c r="H69" s="92"/>
      <c r="I69" s="96"/>
      <c r="P69" s="94"/>
    </row>
    <row r="70">
      <c r="A70" s="95"/>
      <c r="H70" s="92"/>
      <c r="I70" s="96"/>
      <c r="P70" s="94"/>
    </row>
    <row r="71">
      <c r="A71" s="95"/>
      <c r="H71" s="92"/>
      <c r="I71" s="96"/>
      <c r="P71" s="94"/>
    </row>
    <row r="72">
      <c r="A72" s="95"/>
      <c r="H72" s="92"/>
      <c r="I72" s="96"/>
      <c r="P72" s="94"/>
    </row>
    <row r="73">
      <c r="A73" s="95"/>
      <c r="H73" s="92"/>
      <c r="I73" s="96"/>
      <c r="P73" s="94"/>
    </row>
    <row r="74">
      <c r="A74" s="95"/>
      <c r="H74" s="92"/>
      <c r="I74" s="96"/>
      <c r="P74" s="94"/>
    </row>
    <row r="75">
      <c r="A75" s="95"/>
      <c r="H75" s="92"/>
      <c r="I75" s="96"/>
      <c r="P75" s="94"/>
    </row>
    <row r="76">
      <c r="A76" s="95"/>
      <c r="H76" s="92"/>
      <c r="I76" s="96"/>
      <c r="P76" s="94"/>
    </row>
    <row r="77">
      <c r="A77" s="95"/>
      <c r="H77" s="92"/>
      <c r="I77" s="96"/>
      <c r="P77" s="94"/>
    </row>
    <row r="78">
      <c r="A78" s="95"/>
      <c r="H78" s="92"/>
      <c r="I78" s="96"/>
      <c r="P78" s="94"/>
    </row>
    <row r="79">
      <c r="A79" s="97"/>
      <c r="B79" s="43"/>
      <c r="C79" s="43"/>
      <c r="D79" s="43"/>
      <c r="E79" s="43"/>
      <c r="F79" s="43"/>
      <c r="G79" s="43"/>
      <c r="H79" s="70"/>
      <c r="I79" s="98"/>
      <c r="J79" s="43"/>
      <c r="K79" s="43"/>
      <c r="L79" s="43"/>
      <c r="M79" s="43"/>
      <c r="N79" s="43"/>
      <c r="O79" s="43"/>
      <c r="P79" s="44"/>
    </row>
    <row r="80">
      <c r="A80" s="99" t="s">
        <v>38</v>
      </c>
      <c r="B80" s="51"/>
      <c r="C80" s="51"/>
      <c r="D80" s="51"/>
      <c r="E80" s="51"/>
      <c r="F80" s="51"/>
      <c r="G80" s="51"/>
      <c r="H80" s="72"/>
      <c r="I80" s="100" t="s">
        <v>38</v>
      </c>
      <c r="J80" s="51"/>
      <c r="K80" s="51"/>
      <c r="L80" s="51"/>
      <c r="M80" s="51"/>
      <c r="N80" s="51"/>
      <c r="O80" s="51"/>
      <c r="P80" s="52"/>
    </row>
    <row r="81">
      <c r="A81" s="101" t="s">
        <v>41</v>
      </c>
      <c r="B81" s="102"/>
      <c r="C81" s="102"/>
      <c r="D81" s="102"/>
      <c r="E81" s="102"/>
      <c r="F81" s="102"/>
      <c r="G81" s="102"/>
      <c r="H81" s="103"/>
      <c r="I81" s="104" t="s">
        <v>42</v>
      </c>
      <c r="J81" s="102"/>
      <c r="K81" s="102"/>
      <c r="L81" s="102"/>
      <c r="M81" s="102"/>
      <c r="N81" s="102"/>
      <c r="O81" s="102"/>
      <c r="P81" s="105"/>
    </row>
    <row r="82">
      <c r="A82" s="95"/>
      <c r="H82" s="92"/>
      <c r="I82" s="96"/>
      <c r="P82" s="94"/>
    </row>
    <row r="83">
      <c r="A83" s="97"/>
      <c r="B83" s="43"/>
      <c r="C83" s="43"/>
      <c r="D83" s="43"/>
      <c r="E83" s="43"/>
      <c r="F83" s="43"/>
      <c r="G83" s="43"/>
      <c r="H83" s="70"/>
      <c r="I83" s="98"/>
      <c r="J83" s="43"/>
      <c r="K83" s="43"/>
      <c r="L83" s="43"/>
      <c r="M83" s="43"/>
      <c r="N83" s="43"/>
      <c r="O83" s="43"/>
      <c r="P83" s="44"/>
    </row>
    <row r="84">
      <c r="A84" s="106"/>
      <c r="B84" s="102"/>
      <c r="C84" s="102"/>
      <c r="D84" s="102"/>
      <c r="E84" s="102"/>
      <c r="F84" s="102"/>
      <c r="G84" s="102"/>
      <c r="H84" s="103"/>
      <c r="I84" s="107"/>
      <c r="J84" s="102"/>
      <c r="K84" s="102"/>
      <c r="L84" s="102"/>
      <c r="M84" s="102"/>
      <c r="N84" s="102"/>
      <c r="O84" s="102"/>
      <c r="P84" s="105"/>
    </row>
    <row r="85">
      <c r="A85" s="95"/>
      <c r="H85" s="92"/>
      <c r="I85" s="96"/>
      <c r="P85" s="94"/>
    </row>
    <row r="86">
      <c r="A86" s="95"/>
      <c r="H86" s="92"/>
      <c r="I86" s="96"/>
      <c r="P86" s="94"/>
    </row>
    <row r="87">
      <c r="A87" s="95"/>
      <c r="H87" s="92"/>
      <c r="I87" s="96"/>
      <c r="P87" s="94"/>
    </row>
    <row r="88">
      <c r="A88" s="95"/>
      <c r="H88" s="92"/>
      <c r="I88" s="96"/>
      <c r="P88" s="94"/>
    </row>
    <row r="89">
      <c r="A89" s="95"/>
      <c r="H89" s="92"/>
      <c r="I89" s="96"/>
      <c r="P89" s="94"/>
    </row>
    <row r="90">
      <c r="A90" s="95"/>
      <c r="H90" s="92"/>
      <c r="I90" s="96"/>
      <c r="P90" s="94"/>
    </row>
    <row r="91">
      <c r="A91" s="95"/>
      <c r="H91" s="92"/>
      <c r="I91" s="96"/>
      <c r="P91" s="94"/>
    </row>
    <row r="92">
      <c r="A92" s="95"/>
      <c r="H92" s="92"/>
      <c r="I92" s="96"/>
      <c r="P92" s="94"/>
    </row>
    <row r="93">
      <c r="A93" s="95"/>
      <c r="H93" s="92"/>
      <c r="I93" s="96"/>
      <c r="P93" s="94"/>
    </row>
    <row r="94">
      <c r="A94" s="95"/>
      <c r="H94" s="92"/>
      <c r="I94" s="96"/>
      <c r="P94" s="94"/>
    </row>
    <row r="95">
      <c r="A95" s="95"/>
      <c r="H95" s="92"/>
      <c r="I95" s="96"/>
      <c r="P95" s="94"/>
    </row>
    <row r="96">
      <c r="A96" s="95"/>
      <c r="H96" s="92"/>
      <c r="I96" s="96"/>
      <c r="P96" s="94"/>
    </row>
    <row r="97">
      <c r="A97" s="95"/>
      <c r="H97" s="92"/>
      <c r="I97" s="96"/>
      <c r="P97" s="94"/>
    </row>
    <row r="98">
      <c r="A98" s="95"/>
      <c r="H98" s="92"/>
      <c r="I98" s="96"/>
      <c r="P98" s="94"/>
    </row>
    <row r="99">
      <c r="A99" s="95"/>
      <c r="H99" s="92"/>
      <c r="I99" s="96"/>
      <c r="P99" s="94"/>
    </row>
    <row r="100">
      <c r="A100" s="95"/>
      <c r="H100" s="92"/>
      <c r="I100" s="96"/>
      <c r="P100" s="94"/>
    </row>
    <row r="101">
      <c r="A101" s="95"/>
      <c r="H101" s="92"/>
      <c r="I101" s="96"/>
      <c r="P101" s="94"/>
    </row>
    <row r="102">
      <c r="A102" s="95"/>
      <c r="H102" s="92"/>
      <c r="I102" s="96"/>
      <c r="P102" s="94"/>
    </row>
    <row r="103">
      <c r="A103" s="97"/>
      <c r="B103" s="43"/>
      <c r="C103" s="43"/>
      <c r="D103" s="43"/>
      <c r="E103" s="43"/>
      <c r="F103" s="43"/>
      <c r="G103" s="43"/>
      <c r="H103" s="70"/>
      <c r="I103" s="98"/>
      <c r="J103" s="43"/>
      <c r="K103" s="43"/>
      <c r="L103" s="43"/>
      <c r="M103" s="43"/>
      <c r="N103" s="43"/>
      <c r="O103" s="43"/>
      <c r="P103" s="44"/>
    </row>
    <row r="104">
      <c r="A104" s="99" t="s">
        <v>38</v>
      </c>
      <c r="B104" s="51"/>
      <c r="C104" s="51"/>
      <c r="D104" s="51"/>
      <c r="E104" s="51"/>
      <c r="F104" s="51"/>
      <c r="G104" s="51"/>
      <c r="H104" s="72"/>
      <c r="I104" s="100" t="s">
        <v>38</v>
      </c>
      <c r="J104" s="51"/>
      <c r="K104" s="51"/>
      <c r="L104" s="51"/>
      <c r="M104" s="51"/>
      <c r="N104" s="51"/>
      <c r="O104" s="51"/>
      <c r="P104" s="52"/>
    </row>
    <row r="105">
      <c r="A105" s="101" t="s">
        <v>43</v>
      </c>
      <c r="B105" s="102"/>
      <c r="C105" s="102"/>
      <c r="D105" s="102"/>
      <c r="E105" s="102"/>
      <c r="F105" s="102"/>
      <c r="G105" s="102"/>
      <c r="H105" s="103"/>
      <c r="I105" s="104" t="s">
        <v>44</v>
      </c>
      <c r="J105" s="102"/>
      <c r="K105" s="102"/>
      <c r="L105" s="102"/>
      <c r="M105" s="102"/>
      <c r="N105" s="102"/>
      <c r="O105" s="102"/>
      <c r="P105" s="105"/>
    </row>
    <row r="106">
      <c r="A106" s="95"/>
      <c r="H106" s="92"/>
      <c r="I106" s="96"/>
      <c r="P106" s="94"/>
    </row>
    <row r="107">
      <c r="A107" s="97"/>
      <c r="B107" s="43"/>
      <c r="C107" s="43"/>
      <c r="D107" s="43"/>
      <c r="E107" s="43"/>
      <c r="F107" s="43"/>
      <c r="G107" s="43"/>
      <c r="H107" s="70"/>
      <c r="I107" s="98"/>
      <c r="J107" s="43"/>
      <c r="K107" s="43"/>
      <c r="L107" s="43"/>
      <c r="M107" s="43"/>
      <c r="N107" s="43"/>
      <c r="O107" s="43"/>
      <c r="P107" s="44"/>
    </row>
    <row r="108">
      <c r="A108" s="106"/>
      <c r="B108" s="102"/>
      <c r="C108" s="102"/>
      <c r="D108" s="102"/>
      <c r="E108" s="102"/>
      <c r="F108" s="102"/>
      <c r="G108" s="102"/>
      <c r="H108" s="103"/>
      <c r="I108" s="107"/>
      <c r="J108" s="102"/>
      <c r="K108" s="102"/>
      <c r="L108" s="102"/>
      <c r="M108" s="102"/>
      <c r="N108" s="102"/>
      <c r="O108" s="102"/>
      <c r="P108" s="105"/>
    </row>
    <row r="109">
      <c r="A109" s="95"/>
      <c r="H109" s="92"/>
      <c r="I109" s="96"/>
      <c r="P109" s="94"/>
    </row>
    <row r="110">
      <c r="A110" s="95"/>
      <c r="H110" s="92"/>
      <c r="I110" s="96"/>
      <c r="P110" s="94"/>
    </row>
    <row r="111">
      <c r="A111" s="95"/>
      <c r="H111" s="92"/>
      <c r="I111" s="96"/>
      <c r="P111" s="94"/>
    </row>
    <row r="112">
      <c r="A112" s="95"/>
      <c r="H112" s="92"/>
      <c r="I112" s="96"/>
      <c r="P112" s="94"/>
    </row>
    <row r="113">
      <c r="A113" s="95"/>
      <c r="H113" s="92"/>
      <c r="I113" s="96"/>
      <c r="P113" s="94"/>
    </row>
    <row r="114">
      <c r="A114" s="95"/>
      <c r="H114" s="92"/>
      <c r="I114" s="96"/>
      <c r="P114" s="94"/>
    </row>
    <row r="115">
      <c r="A115" s="95"/>
      <c r="H115" s="92"/>
      <c r="I115" s="96"/>
      <c r="P115" s="94"/>
    </row>
    <row r="116">
      <c r="A116" s="95"/>
      <c r="H116" s="92"/>
      <c r="I116" s="96"/>
      <c r="P116" s="94"/>
    </row>
    <row r="117">
      <c r="A117" s="95"/>
      <c r="H117" s="92"/>
      <c r="I117" s="96"/>
      <c r="P117" s="94"/>
    </row>
    <row r="118">
      <c r="A118" s="95"/>
      <c r="H118" s="92"/>
      <c r="I118" s="96"/>
      <c r="P118" s="94"/>
    </row>
    <row r="119">
      <c r="A119" s="95"/>
      <c r="H119" s="92"/>
      <c r="I119" s="96"/>
      <c r="P119" s="94"/>
    </row>
    <row r="120">
      <c r="A120" s="95"/>
      <c r="H120" s="92"/>
      <c r="I120" s="96"/>
      <c r="P120" s="94"/>
    </row>
    <row r="121">
      <c r="A121" s="95"/>
      <c r="H121" s="92"/>
      <c r="I121" s="96"/>
      <c r="P121" s="94"/>
    </row>
    <row r="122">
      <c r="A122" s="95"/>
      <c r="H122" s="92"/>
      <c r="I122" s="96"/>
      <c r="P122" s="94"/>
    </row>
    <row r="123">
      <c r="A123" s="95"/>
      <c r="H123" s="92"/>
      <c r="I123" s="96"/>
      <c r="P123" s="94"/>
    </row>
    <row r="124">
      <c r="A124" s="95"/>
      <c r="H124" s="92"/>
      <c r="I124" s="96"/>
      <c r="P124" s="94"/>
    </row>
    <row r="125">
      <c r="A125" s="95"/>
      <c r="H125" s="92"/>
      <c r="I125" s="96"/>
      <c r="P125" s="94"/>
    </row>
    <row r="126">
      <c r="A126" s="95"/>
      <c r="H126" s="92"/>
      <c r="I126" s="96"/>
      <c r="P126" s="94"/>
    </row>
    <row r="127">
      <c r="A127" s="97"/>
      <c r="B127" s="43"/>
      <c r="C127" s="43"/>
      <c r="D127" s="43"/>
      <c r="E127" s="43"/>
      <c r="F127" s="43"/>
      <c r="G127" s="43"/>
      <c r="H127" s="70"/>
      <c r="I127" s="98"/>
      <c r="J127" s="43"/>
      <c r="K127" s="43"/>
      <c r="L127" s="43"/>
      <c r="M127" s="43"/>
      <c r="N127" s="43"/>
      <c r="O127" s="43"/>
      <c r="P127" s="44"/>
    </row>
    <row r="128">
      <c r="A128" s="99" t="s">
        <v>38</v>
      </c>
      <c r="B128" s="51"/>
      <c r="C128" s="51"/>
      <c r="D128" s="51"/>
      <c r="E128" s="51"/>
      <c r="F128" s="51"/>
      <c r="G128" s="51"/>
      <c r="H128" s="72"/>
      <c r="I128" s="100" t="s">
        <v>38</v>
      </c>
      <c r="J128" s="51"/>
      <c r="K128" s="51"/>
      <c r="L128" s="51"/>
      <c r="M128" s="51"/>
      <c r="N128" s="51"/>
      <c r="O128" s="51"/>
      <c r="P128" s="52"/>
    </row>
    <row r="129">
      <c r="A129" s="101" t="s">
        <v>45</v>
      </c>
      <c r="B129" s="102"/>
      <c r="C129" s="102"/>
      <c r="D129" s="102"/>
      <c r="E129" s="102"/>
      <c r="F129" s="102"/>
      <c r="G129" s="102"/>
      <c r="H129" s="103"/>
      <c r="I129" s="104" t="s">
        <v>46</v>
      </c>
      <c r="J129" s="102"/>
      <c r="K129" s="102"/>
      <c r="L129" s="102"/>
      <c r="M129" s="102"/>
      <c r="N129" s="102"/>
      <c r="O129" s="102"/>
      <c r="P129" s="105"/>
    </row>
    <row r="130">
      <c r="A130" s="95"/>
      <c r="H130" s="92"/>
      <c r="I130" s="96"/>
      <c r="P130" s="94"/>
    </row>
    <row r="131">
      <c r="A131" s="97"/>
      <c r="B131" s="43"/>
      <c r="C131" s="43"/>
      <c r="D131" s="43"/>
      <c r="E131" s="43"/>
      <c r="F131" s="43"/>
      <c r="G131" s="43"/>
      <c r="H131" s="70"/>
      <c r="I131" s="108"/>
      <c r="J131" s="87"/>
      <c r="K131" s="87"/>
      <c r="L131" s="87"/>
      <c r="M131" s="87"/>
      <c r="N131" s="87"/>
      <c r="O131" s="87"/>
      <c r="P131" s="109"/>
    </row>
    <row r="132">
      <c r="A132" s="106"/>
      <c r="B132" s="102"/>
      <c r="C132" s="102"/>
      <c r="D132" s="102"/>
      <c r="E132" s="102"/>
      <c r="F132" s="102"/>
      <c r="G132" s="102"/>
      <c r="H132" s="105"/>
      <c r="I132" s="110"/>
      <c r="J132" s="111"/>
      <c r="K132" s="111"/>
      <c r="L132" s="111"/>
      <c r="M132" s="111"/>
      <c r="N132" s="111"/>
      <c r="O132" s="111"/>
      <c r="P132" s="111"/>
    </row>
    <row r="133">
      <c r="A133" s="95"/>
      <c r="H133" s="94"/>
      <c r="I133" s="112"/>
      <c r="J133" s="113"/>
      <c r="K133" s="113"/>
      <c r="L133" s="113"/>
      <c r="M133" s="113"/>
      <c r="N133" s="113"/>
      <c r="O133" s="113"/>
      <c r="P133" s="113"/>
    </row>
    <row r="134">
      <c r="A134" s="95"/>
      <c r="H134" s="94"/>
      <c r="I134" s="112"/>
      <c r="J134" s="114"/>
      <c r="K134" s="114"/>
      <c r="L134" s="114"/>
      <c r="M134" s="114"/>
      <c r="N134" s="114"/>
      <c r="O134" s="114"/>
      <c r="P134" s="113"/>
    </row>
    <row r="135">
      <c r="A135" s="95"/>
      <c r="H135" s="94"/>
      <c r="I135" s="115"/>
      <c r="J135" s="116" t="s">
        <v>47</v>
      </c>
      <c r="K135" s="36"/>
      <c r="L135" s="36"/>
      <c r="M135" s="36"/>
      <c r="N135" s="36"/>
      <c r="O135" s="37"/>
      <c r="P135" s="112"/>
    </row>
    <row r="136">
      <c r="A136" s="95"/>
      <c r="H136" s="94"/>
      <c r="I136" s="115"/>
      <c r="J136" s="117" t="s">
        <v>48</v>
      </c>
      <c r="K136" s="118"/>
      <c r="L136" s="118"/>
      <c r="M136" s="118"/>
      <c r="N136" s="118"/>
      <c r="O136" s="119"/>
      <c r="P136" s="112"/>
    </row>
    <row r="137">
      <c r="A137" s="95"/>
      <c r="H137" s="94"/>
      <c r="I137" s="115"/>
      <c r="J137" s="95"/>
      <c r="O137" s="94"/>
      <c r="P137" s="112"/>
    </row>
    <row r="138">
      <c r="A138" s="95"/>
      <c r="H138" s="94"/>
      <c r="I138" s="115"/>
      <c r="J138" s="95"/>
      <c r="O138" s="94"/>
      <c r="P138" s="112"/>
    </row>
    <row r="139">
      <c r="A139" s="95"/>
      <c r="H139" s="94"/>
      <c r="I139" s="115"/>
      <c r="J139" s="95"/>
      <c r="O139" s="94"/>
      <c r="P139" s="112"/>
    </row>
    <row r="140">
      <c r="A140" s="95"/>
      <c r="H140" s="94"/>
      <c r="I140" s="115"/>
      <c r="J140" s="95"/>
      <c r="O140" s="94"/>
      <c r="P140" s="112"/>
    </row>
    <row r="141">
      <c r="A141" s="95"/>
      <c r="H141" s="94"/>
      <c r="I141" s="115"/>
      <c r="J141" s="120"/>
      <c r="K141" s="87"/>
      <c r="L141" s="87"/>
      <c r="M141" s="87"/>
      <c r="N141" s="87"/>
      <c r="O141" s="109"/>
      <c r="P141" s="112"/>
    </row>
    <row r="142">
      <c r="A142" s="95"/>
      <c r="H142" s="94"/>
      <c r="I142" s="112"/>
      <c r="J142" s="121"/>
      <c r="K142" s="121"/>
      <c r="L142" s="121"/>
      <c r="M142" s="121"/>
      <c r="N142" s="121"/>
      <c r="O142" s="121"/>
      <c r="P142" s="113"/>
    </row>
    <row r="143">
      <c r="A143" s="95"/>
      <c r="H143" s="94"/>
      <c r="I143" s="112"/>
      <c r="J143" s="122"/>
      <c r="K143" s="122"/>
      <c r="L143" s="122"/>
      <c r="M143" s="122"/>
      <c r="N143" s="122"/>
      <c r="O143" s="122"/>
      <c r="P143" s="113"/>
    </row>
    <row r="144">
      <c r="A144" s="95"/>
      <c r="H144" s="94"/>
      <c r="I144" s="112"/>
      <c r="J144" s="122"/>
      <c r="K144" s="122"/>
      <c r="L144" s="122"/>
      <c r="M144" s="122"/>
      <c r="N144" s="122"/>
      <c r="O144" s="122"/>
      <c r="P144" s="113"/>
    </row>
    <row r="145">
      <c r="A145" s="95"/>
      <c r="H145" s="94"/>
      <c r="I145" s="112"/>
      <c r="J145" s="113"/>
      <c r="K145" s="113"/>
      <c r="L145" s="113"/>
      <c r="M145" s="113"/>
      <c r="N145" s="113"/>
      <c r="O145" s="113"/>
      <c r="P145" s="113"/>
    </row>
    <row r="146">
      <c r="A146" s="95"/>
      <c r="H146" s="94"/>
      <c r="I146" s="112"/>
      <c r="J146" s="113"/>
      <c r="K146" s="113"/>
      <c r="L146" s="113"/>
      <c r="M146" s="113"/>
      <c r="N146" s="113"/>
      <c r="O146" s="113"/>
      <c r="P146" s="113"/>
    </row>
    <row r="147">
      <c r="A147" s="95"/>
      <c r="H147" s="94"/>
      <c r="I147" s="112"/>
      <c r="J147" s="113"/>
      <c r="K147" s="113"/>
      <c r="L147" s="113"/>
      <c r="M147" s="113"/>
      <c r="N147" s="113"/>
      <c r="O147" s="113"/>
      <c r="P147" s="113"/>
    </row>
    <row r="148">
      <c r="A148" s="95"/>
      <c r="H148" s="94"/>
      <c r="I148" s="112"/>
      <c r="J148" s="113"/>
      <c r="K148" s="113"/>
      <c r="L148" s="113"/>
      <c r="M148" s="113"/>
      <c r="N148" s="113"/>
      <c r="O148" s="113"/>
      <c r="P148" s="113"/>
    </row>
    <row r="149">
      <c r="A149" s="95"/>
      <c r="H149" s="94"/>
      <c r="I149" s="112"/>
      <c r="J149" s="113"/>
      <c r="K149" s="113"/>
      <c r="L149" s="113"/>
      <c r="M149" s="113"/>
      <c r="N149" s="113"/>
      <c r="O149" s="113"/>
      <c r="P149" s="113"/>
    </row>
    <row r="150">
      <c r="A150" s="95"/>
      <c r="H150" s="94"/>
      <c r="I150" s="112"/>
      <c r="J150" s="113"/>
      <c r="K150" s="113"/>
      <c r="L150" s="113"/>
      <c r="M150" s="113"/>
      <c r="N150" s="113"/>
      <c r="O150" s="113"/>
      <c r="P150" s="113"/>
    </row>
    <row r="151">
      <c r="A151" s="97"/>
      <c r="B151" s="43"/>
      <c r="C151" s="43"/>
      <c r="D151" s="43"/>
      <c r="E151" s="43"/>
      <c r="F151" s="43"/>
      <c r="G151" s="43"/>
      <c r="H151" s="44"/>
      <c r="I151" s="112"/>
      <c r="J151" s="113"/>
      <c r="K151" s="113"/>
      <c r="L151" s="113"/>
      <c r="M151" s="113"/>
      <c r="N151" s="113"/>
      <c r="O151" s="113"/>
      <c r="P151" s="113"/>
    </row>
    <row r="152">
      <c r="A152" s="123" t="s">
        <v>38</v>
      </c>
      <c r="B152" s="43"/>
      <c r="C152" s="43"/>
      <c r="D152" s="43"/>
      <c r="E152" s="43"/>
      <c r="F152" s="43"/>
      <c r="G152" s="43"/>
      <c r="H152" s="44"/>
      <c r="I152" s="112"/>
      <c r="J152" s="113"/>
      <c r="K152" s="113"/>
      <c r="L152" s="113"/>
      <c r="M152" s="113"/>
      <c r="N152" s="113"/>
      <c r="O152" s="113"/>
      <c r="P152" s="113"/>
    </row>
    <row r="153">
      <c r="A153" s="101" t="s">
        <v>49</v>
      </c>
      <c r="B153" s="102"/>
      <c r="C153" s="102"/>
      <c r="D153" s="102"/>
      <c r="E153" s="102"/>
      <c r="F153" s="102"/>
      <c r="G153" s="102"/>
      <c r="H153" s="105"/>
      <c r="I153" s="112"/>
      <c r="J153" s="113"/>
      <c r="K153" s="113"/>
      <c r="L153" s="113"/>
      <c r="M153" s="113"/>
      <c r="N153" s="113"/>
      <c r="O153" s="113"/>
      <c r="P153" s="113"/>
    </row>
    <row r="154">
      <c r="A154" s="95"/>
      <c r="H154" s="94"/>
      <c r="I154" s="112"/>
      <c r="J154" s="113"/>
      <c r="K154" s="113"/>
      <c r="L154" s="113"/>
      <c r="M154" s="113"/>
      <c r="N154" s="113"/>
      <c r="O154" s="113"/>
      <c r="P154" s="113"/>
    </row>
    <row r="155">
      <c r="A155" s="120"/>
      <c r="B155" s="87"/>
      <c r="C155" s="87"/>
      <c r="D155" s="87"/>
      <c r="E155" s="87"/>
      <c r="F155" s="87"/>
      <c r="G155" s="87"/>
      <c r="H155" s="109"/>
      <c r="I155" s="124"/>
      <c r="J155" s="114"/>
      <c r="K155" s="114"/>
      <c r="L155" s="114"/>
      <c r="M155" s="114"/>
      <c r="N155" s="114"/>
      <c r="O155" s="114"/>
      <c r="P155" s="114"/>
    </row>
  </sheetData>
  <mergeCells count="117">
    <mergeCell ref="H21:I21"/>
    <mergeCell ref="J21:K21"/>
    <mergeCell ref="A20:C20"/>
    <mergeCell ref="D20:E20"/>
    <mergeCell ref="F20:G20"/>
    <mergeCell ref="H20:I20"/>
    <mergeCell ref="J20:K20"/>
    <mergeCell ref="L20:Q20"/>
    <mergeCell ref="A21:C21"/>
    <mergeCell ref="L21:Q21"/>
    <mergeCell ref="D21:E21"/>
    <mergeCell ref="F21:G21"/>
    <mergeCell ref="D22:E22"/>
    <mergeCell ref="F22:G22"/>
    <mergeCell ref="H22:I22"/>
    <mergeCell ref="J22:K22"/>
    <mergeCell ref="L22:Q22"/>
    <mergeCell ref="A22:C22"/>
    <mergeCell ref="A23:C23"/>
    <mergeCell ref="D23:E23"/>
    <mergeCell ref="F23:G23"/>
    <mergeCell ref="H23:I23"/>
    <mergeCell ref="J23:K23"/>
    <mergeCell ref="L23:Q23"/>
    <mergeCell ref="D24:E24"/>
    <mergeCell ref="F24:G24"/>
    <mergeCell ref="H24:I24"/>
    <mergeCell ref="J24:K24"/>
    <mergeCell ref="L24:Q24"/>
    <mergeCell ref="A25:P26"/>
    <mergeCell ref="A27:Q27"/>
    <mergeCell ref="L28:Q28"/>
    <mergeCell ref="H29:I29"/>
    <mergeCell ref="J29:K29"/>
    <mergeCell ref="L29:Q29"/>
    <mergeCell ref="A24:C24"/>
    <mergeCell ref="A28:C28"/>
    <mergeCell ref="D28:E28"/>
    <mergeCell ref="F28:G28"/>
    <mergeCell ref="H28:I28"/>
    <mergeCell ref="J28:K28"/>
    <mergeCell ref="A29:C29"/>
    <mergeCell ref="A30:C30"/>
    <mergeCell ref="A31:P34"/>
    <mergeCell ref="A35:P35"/>
    <mergeCell ref="I36:P55"/>
    <mergeCell ref="I56:P56"/>
    <mergeCell ref="I57:P59"/>
    <mergeCell ref="D15:E15"/>
    <mergeCell ref="F15:G15"/>
    <mergeCell ref="A16:C16"/>
    <mergeCell ref="D16:E16"/>
    <mergeCell ref="F16:G16"/>
    <mergeCell ref="A36:H55"/>
    <mergeCell ref="A56:H56"/>
    <mergeCell ref="A108:H127"/>
    <mergeCell ref="A128:H128"/>
    <mergeCell ref="A129:H131"/>
    <mergeCell ref="A132:H151"/>
    <mergeCell ref="A152:H152"/>
    <mergeCell ref="A153:H155"/>
    <mergeCell ref="I128:P128"/>
    <mergeCell ref="I129:P131"/>
    <mergeCell ref="J135:O135"/>
    <mergeCell ref="J136:O141"/>
    <mergeCell ref="A84:H103"/>
    <mergeCell ref="I84:P103"/>
    <mergeCell ref="A104:H104"/>
    <mergeCell ref="I104:P104"/>
    <mergeCell ref="A105:H107"/>
    <mergeCell ref="I105:P107"/>
    <mergeCell ref="I108:P127"/>
    <mergeCell ref="E3:L3"/>
    <mergeCell ref="E4:L4"/>
    <mergeCell ref="E5:L5"/>
    <mergeCell ref="E6:H6"/>
    <mergeCell ref="I6:L6"/>
    <mergeCell ref="E7:H7"/>
    <mergeCell ref="I7:L7"/>
    <mergeCell ref="J13:K13"/>
    <mergeCell ref="L13:Q13"/>
    <mergeCell ref="E8:L8"/>
    <mergeCell ref="E9:L9"/>
    <mergeCell ref="A12:Q12"/>
    <mergeCell ref="A13:C13"/>
    <mergeCell ref="D13:E13"/>
    <mergeCell ref="F13:G13"/>
    <mergeCell ref="H13:I13"/>
    <mergeCell ref="A14:C14"/>
    <mergeCell ref="D14:E14"/>
    <mergeCell ref="F14:G14"/>
    <mergeCell ref="H14:I14"/>
    <mergeCell ref="J14:K14"/>
    <mergeCell ref="L14:Q14"/>
    <mergeCell ref="A15:C15"/>
    <mergeCell ref="L15:Q15"/>
    <mergeCell ref="H15:I15"/>
    <mergeCell ref="J15:K15"/>
    <mergeCell ref="H16:I16"/>
    <mergeCell ref="J16:K16"/>
    <mergeCell ref="L16:Q16"/>
    <mergeCell ref="A17:P18"/>
    <mergeCell ref="A19:Q19"/>
    <mergeCell ref="D29:E29"/>
    <mergeCell ref="F29:G29"/>
    <mergeCell ref="D30:E30"/>
    <mergeCell ref="F30:G30"/>
    <mergeCell ref="H30:I30"/>
    <mergeCell ref="J30:K30"/>
    <mergeCell ref="L30:Q30"/>
    <mergeCell ref="A57:H59"/>
    <mergeCell ref="A60:H79"/>
    <mergeCell ref="I60:P79"/>
    <mergeCell ref="A80:H80"/>
    <mergeCell ref="I80:P80"/>
    <mergeCell ref="A81:H83"/>
    <mergeCell ref="I81:P83"/>
  </mergeCells>
  <drawing r:id="rId1"/>
</worksheet>
</file>